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Admin\for keeps admin\Reports\Example Reports\"/>
    </mc:Choice>
  </mc:AlternateContent>
  <xr:revisionPtr revIDLastSave="0" documentId="13_ncr:1_{BCC6F9F4-EDDB-447C-9EF5-FBEB2636F4AB}" xr6:coauthVersionLast="47" xr6:coauthVersionMax="47" xr10:uidLastSave="{00000000-0000-0000-0000-000000000000}"/>
  <bookViews>
    <workbookView xWindow="-120" yWindow="-120" windowWidth="29040" windowHeight="15720" xr2:uid="{A75284A8-3CD9-4D36-A723-549C7FC6C7A8}"/>
  </bookViews>
  <sheets>
    <sheet name="Overview" sheetId="1" r:id="rId1"/>
    <sheet name="January" sheetId="18" r:id="rId2"/>
    <sheet name="February" sheetId="19" r:id="rId3"/>
    <sheet name="March" sheetId="20" r:id="rId4"/>
    <sheet name="April" sheetId="21" r:id="rId5"/>
    <sheet name="May" sheetId="22" r:id="rId6"/>
    <sheet name="June" sheetId="23" r:id="rId7"/>
    <sheet name="July" sheetId="30" r:id="rId8"/>
    <sheet name="August" sheetId="31" r:id="rId9"/>
    <sheet name="September" sheetId="32" r:id="rId10"/>
    <sheet name="October" sheetId="33" r:id="rId11"/>
    <sheet name="November" sheetId="34" r:id="rId12"/>
    <sheet name="December" sheetId="35" r:id="rId13"/>
  </sheets>
  <definedNames>
    <definedName name="_xlnm.Print_Titles" localSheetId="4">April!$1:$4</definedName>
    <definedName name="_xlnm.Print_Titles" localSheetId="8">August!$1:$4</definedName>
    <definedName name="_xlnm.Print_Titles" localSheetId="12">December!$1:$4</definedName>
    <definedName name="_xlnm.Print_Titles" localSheetId="2">February!$1:$4</definedName>
    <definedName name="_xlnm.Print_Titles" localSheetId="1">January!$1:$4</definedName>
    <definedName name="_xlnm.Print_Titles" localSheetId="7">July!$1:$4</definedName>
    <definedName name="_xlnm.Print_Titles" localSheetId="6">June!$1:$4</definedName>
    <definedName name="_xlnm.Print_Titles" localSheetId="3">March!$1:$4</definedName>
    <definedName name="_xlnm.Print_Titles" localSheetId="5">May!$1:$4</definedName>
    <definedName name="_xlnm.Print_Titles" localSheetId="11">November!$1:$4</definedName>
    <definedName name="_xlnm.Print_Titles" localSheetId="10">October!$1:$4</definedName>
    <definedName name="_xlnm.Print_Titles" localSheetId="9">September!$1:$4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23" i="1"/>
  <c r="A22" i="1"/>
  <c r="A13" i="1"/>
  <c r="A12" i="1"/>
  <c r="A11" i="1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4" i="35"/>
  <c r="M35" i="35"/>
  <c r="M36" i="35"/>
  <c r="M37" i="35"/>
  <c r="M38" i="35"/>
  <c r="M39" i="35"/>
  <c r="M40" i="35"/>
  <c r="M41" i="35"/>
  <c r="M42" i="35"/>
  <c r="M18" i="35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18" i="34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1" i="33"/>
  <c r="M42" i="33"/>
  <c r="M18" i="33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M38" i="32"/>
  <c r="M39" i="32"/>
  <c r="M40" i="32"/>
  <c r="M41" i="32"/>
  <c r="M42" i="32"/>
  <c r="M18" i="32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42" i="31"/>
  <c r="M18" i="31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18" i="30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18" i="23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18" i="22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18" i="21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18" i="20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18" i="19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18" i="18"/>
  <c r="R42" i="35" l="1"/>
  <c r="P42" i="35"/>
  <c r="K42" i="35"/>
  <c r="R41" i="35"/>
  <c r="P41" i="35"/>
  <c r="K41" i="35"/>
  <c r="R40" i="35"/>
  <c r="P40" i="35"/>
  <c r="K40" i="35"/>
  <c r="R39" i="35"/>
  <c r="P39" i="35"/>
  <c r="K39" i="35"/>
  <c r="R38" i="35"/>
  <c r="P38" i="35"/>
  <c r="K38" i="35"/>
  <c r="R37" i="35"/>
  <c r="P37" i="35"/>
  <c r="K37" i="35"/>
  <c r="R36" i="35"/>
  <c r="P36" i="35"/>
  <c r="K36" i="35"/>
  <c r="R35" i="35"/>
  <c r="P35" i="35"/>
  <c r="K35" i="35"/>
  <c r="R34" i="35"/>
  <c r="P34" i="35"/>
  <c r="K34" i="35"/>
  <c r="R33" i="35"/>
  <c r="P33" i="35"/>
  <c r="K33" i="35"/>
  <c r="R32" i="35"/>
  <c r="P32" i="35"/>
  <c r="K32" i="35"/>
  <c r="R31" i="35"/>
  <c r="P31" i="35"/>
  <c r="K31" i="35"/>
  <c r="R30" i="35"/>
  <c r="P30" i="35"/>
  <c r="K30" i="35"/>
  <c r="R29" i="35"/>
  <c r="P29" i="35"/>
  <c r="K29" i="35"/>
  <c r="R28" i="35"/>
  <c r="P28" i="35"/>
  <c r="K28" i="35"/>
  <c r="R27" i="35"/>
  <c r="P27" i="35"/>
  <c r="K27" i="35"/>
  <c r="R26" i="35"/>
  <c r="P26" i="35"/>
  <c r="K26" i="35"/>
  <c r="R25" i="35"/>
  <c r="P25" i="35"/>
  <c r="K25" i="35"/>
  <c r="R24" i="35"/>
  <c r="P24" i="35"/>
  <c r="K24" i="35"/>
  <c r="R23" i="35"/>
  <c r="P23" i="35"/>
  <c r="K23" i="35"/>
  <c r="R22" i="35"/>
  <c r="P22" i="35"/>
  <c r="K22" i="35"/>
  <c r="R21" i="35"/>
  <c r="P21" i="35"/>
  <c r="K21" i="35"/>
  <c r="R20" i="35"/>
  <c r="P20" i="35"/>
  <c r="K20" i="35"/>
  <c r="R19" i="35"/>
  <c r="P19" i="35"/>
  <c r="K19" i="35"/>
  <c r="R18" i="35"/>
  <c r="P18" i="35"/>
  <c r="K18" i="35"/>
  <c r="R42" i="34"/>
  <c r="P42" i="34"/>
  <c r="K42" i="34"/>
  <c r="R41" i="34"/>
  <c r="P41" i="34"/>
  <c r="K41" i="34"/>
  <c r="R40" i="34"/>
  <c r="P40" i="34"/>
  <c r="K40" i="34"/>
  <c r="R39" i="34"/>
  <c r="P39" i="34"/>
  <c r="K39" i="34"/>
  <c r="R38" i="34"/>
  <c r="P38" i="34"/>
  <c r="K38" i="34"/>
  <c r="R37" i="34"/>
  <c r="P37" i="34"/>
  <c r="K37" i="34"/>
  <c r="R36" i="34"/>
  <c r="P36" i="34"/>
  <c r="K36" i="34"/>
  <c r="R35" i="34"/>
  <c r="P35" i="34"/>
  <c r="K35" i="34"/>
  <c r="R34" i="34"/>
  <c r="P34" i="34"/>
  <c r="K34" i="34"/>
  <c r="R33" i="34"/>
  <c r="P33" i="34"/>
  <c r="K33" i="34"/>
  <c r="R32" i="34"/>
  <c r="P32" i="34"/>
  <c r="K32" i="34"/>
  <c r="R31" i="34"/>
  <c r="P31" i="34"/>
  <c r="K31" i="34"/>
  <c r="R30" i="34"/>
  <c r="P30" i="34"/>
  <c r="K30" i="34"/>
  <c r="R29" i="34"/>
  <c r="P29" i="34"/>
  <c r="K29" i="34"/>
  <c r="R28" i="34"/>
  <c r="P28" i="34"/>
  <c r="K28" i="34"/>
  <c r="R27" i="34"/>
  <c r="P27" i="34"/>
  <c r="K27" i="34"/>
  <c r="R26" i="34"/>
  <c r="P26" i="34"/>
  <c r="K26" i="34"/>
  <c r="R25" i="34"/>
  <c r="P25" i="34"/>
  <c r="K25" i="34"/>
  <c r="R24" i="34"/>
  <c r="P24" i="34"/>
  <c r="K24" i="34"/>
  <c r="R23" i="34"/>
  <c r="P23" i="34"/>
  <c r="K23" i="34"/>
  <c r="R22" i="34"/>
  <c r="P22" i="34"/>
  <c r="K22" i="34"/>
  <c r="R21" i="34"/>
  <c r="P21" i="34"/>
  <c r="K21" i="34"/>
  <c r="R20" i="34"/>
  <c r="P20" i="34"/>
  <c r="K20" i="34"/>
  <c r="R19" i="34"/>
  <c r="P19" i="34"/>
  <c r="K19" i="34"/>
  <c r="R18" i="34"/>
  <c r="P18" i="34"/>
  <c r="K18" i="34"/>
  <c r="R42" i="33"/>
  <c r="P42" i="33"/>
  <c r="K42" i="33"/>
  <c r="R41" i="33"/>
  <c r="P41" i="33"/>
  <c r="K41" i="33"/>
  <c r="R40" i="33"/>
  <c r="P40" i="33"/>
  <c r="K40" i="33"/>
  <c r="R39" i="33"/>
  <c r="P39" i="33"/>
  <c r="K39" i="33"/>
  <c r="R38" i="33"/>
  <c r="P38" i="33"/>
  <c r="K38" i="33"/>
  <c r="R37" i="33"/>
  <c r="P37" i="33"/>
  <c r="K37" i="33"/>
  <c r="R36" i="33"/>
  <c r="P36" i="33"/>
  <c r="K36" i="33"/>
  <c r="R35" i="33"/>
  <c r="P35" i="33"/>
  <c r="K35" i="33"/>
  <c r="R34" i="33"/>
  <c r="P34" i="33"/>
  <c r="K34" i="33"/>
  <c r="R33" i="33"/>
  <c r="P33" i="33"/>
  <c r="K33" i="33"/>
  <c r="R32" i="33"/>
  <c r="P32" i="33"/>
  <c r="K32" i="33"/>
  <c r="R31" i="33"/>
  <c r="P31" i="33"/>
  <c r="K31" i="33"/>
  <c r="R30" i="33"/>
  <c r="P30" i="33"/>
  <c r="K30" i="33"/>
  <c r="R29" i="33"/>
  <c r="P29" i="33"/>
  <c r="K29" i="33"/>
  <c r="R28" i="33"/>
  <c r="P28" i="33"/>
  <c r="K28" i="33"/>
  <c r="R27" i="33"/>
  <c r="P27" i="33"/>
  <c r="K27" i="33"/>
  <c r="R26" i="33"/>
  <c r="P26" i="33"/>
  <c r="K26" i="33"/>
  <c r="R25" i="33"/>
  <c r="P25" i="33"/>
  <c r="K25" i="33"/>
  <c r="R24" i="33"/>
  <c r="P24" i="33"/>
  <c r="K24" i="33"/>
  <c r="R23" i="33"/>
  <c r="P23" i="33"/>
  <c r="K23" i="33"/>
  <c r="R22" i="33"/>
  <c r="P22" i="33"/>
  <c r="K22" i="33"/>
  <c r="R21" i="33"/>
  <c r="P21" i="33"/>
  <c r="K21" i="33"/>
  <c r="R20" i="33"/>
  <c r="P20" i="33"/>
  <c r="K20" i="33"/>
  <c r="R19" i="33"/>
  <c r="P19" i="33"/>
  <c r="K19" i="33"/>
  <c r="R18" i="33"/>
  <c r="P18" i="33"/>
  <c r="K18" i="33"/>
  <c r="R42" i="32"/>
  <c r="P42" i="32"/>
  <c r="K42" i="32"/>
  <c r="R41" i="32"/>
  <c r="P41" i="32"/>
  <c r="K41" i="32"/>
  <c r="R40" i="32"/>
  <c r="P40" i="32"/>
  <c r="K40" i="32"/>
  <c r="R39" i="32"/>
  <c r="P39" i="32"/>
  <c r="K39" i="32"/>
  <c r="R38" i="32"/>
  <c r="P38" i="32"/>
  <c r="K38" i="32"/>
  <c r="R37" i="32"/>
  <c r="P37" i="32"/>
  <c r="K37" i="32"/>
  <c r="R36" i="32"/>
  <c r="P36" i="32"/>
  <c r="K36" i="32"/>
  <c r="R35" i="32"/>
  <c r="P35" i="32"/>
  <c r="K35" i="32"/>
  <c r="R34" i="32"/>
  <c r="P34" i="32"/>
  <c r="K34" i="32"/>
  <c r="R33" i="32"/>
  <c r="P33" i="32"/>
  <c r="K33" i="32"/>
  <c r="R32" i="32"/>
  <c r="P32" i="32"/>
  <c r="K32" i="32"/>
  <c r="R31" i="32"/>
  <c r="P31" i="32"/>
  <c r="K31" i="32"/>
  <c r="R30" i="32"/>
  <c r="P30" i="32"/>
  <c r="K30" i="32"/>
  <c r="R29" i="32"/>
  <c r="P29" i="32"/>
  <c r="K29" i="32"/>
  <c r="R28" i="32"/>
  <c r="P28" i="32"/>
  <c r="K28" i="32"/>
  <c r="R27" i="32"/>
  <c r="P27" i="32"/>
  <c r="K27" i="32"/>
  <c r="R26" i="32"/>
  <c r="P26" i="32"/>
  <c r="K26" i="32"/>
  <c r="R25" i="32"/>
  <c r="P25" i="32"/>
  <c r="K25" i="32"/>
  <c r="R24" i="32"/>
  <c r="P24" i="32"/>
  <c r="K24" i="32"/>
  <c r="R23" i="32"/>
  <c r="P23" i="32"/>
  <c r="K23" i="32"/>
  <c r="R22" i="32"/>
  <c r="P22" i="32"/>
  <c r="K22" i="32"/>
  <c r="R21" i="32"/>
  <c r="P21" i="32"/>
  <c r="K21" i="32"/>
  <c r="R20" i="32"/>
  <c r="P20" i="32"/>
  <c r="K20" i="32"/>
  <c r="R19" i="32"/>
  <c r="P19" i="32"/>
  <c r="K19" i="32"/>
  <c r="R18" i="32"/>
  <c r="P18" i="32"/>
  <c r="K18" i="32"/>
  <c r="R42" i="31"/>
  <c r="P42" i="31"/>
  <c r="K42" i="31"/>
  <c r="R41" i="31"/>
  <c r="P41" i="31"/>
  <c r="K41" i="31"/>
  <c r="R40" i="31"/>
  <c r="P40" i="31"/>
  <c r="K40" i="31"/>
  <c r="R39" i="31"/>
  <c r="P39" i="31"/>
  <c r="K39" i="31"/>
  <c r="R38" i="31"/>
  <c r="P38" i="31"/>
  <c r="K38" i="31"/>
  <c r="R37" i="31"/>
  <c r="P37" i="31"/>
  <c r="K37" i="31"/>
  <c r="R36" i="31"/>
  <c r="P36" i="31"/>
  <c r="K36" i="31"/>
  <c r="R35" i="31"/>
  <c r="P35" i="31"/>
  <c r="K35" i="31"/>
  <c r="R34" i="31"/>
  <c r="P34" i="31"/>
  <c r="K34" i="31"/>
  <c r="R33" i="31"/>
  <c r="P33" i="31"/>
  <c r="K33" i="31"/>
  <c r="R32" i="31"/>
  <c r="P32" i="31"/>
  <c r="K32" i="31"/>
  <c r="R31" i="31"/>
  <c r="P31" i="31"/>
  <c r="K31" i="31"/>
  <c r="R30" i="31"/>
  <c r="P30" i="31"/>
  <c r="K30" i="31"/>
  <c r="R29" i="31"/>
  <c r="P29" i="31"/>
  <c r="K29" i="31"/>
  <c r="R28" i="31"/>
  <c r="P28" i="31"/>
  <c r="K28" i="31"/>
  <c r="R27" i="31"/>
  <c r="P27" i="31"/>
  <c r="K27" i="31"/>
  <c r="R26" i="31"/>
  <c r="P26" i="31"/>
  <c r="K26" i="31"/>
  <c r="R25" i="31"/>
  <c r="P25" i="31"/>
  <c r="K25" i="31"/>
  <c r="R24" i="31"/>
  <c r="P24" i="31"/>
  <c r="K24" i="31"/>
  <c r="R23" i="31"/>
  <c r="P23" i="31"/>
  <c r="K23" i="31"/>
  <c r="R22" i="31"/>
  <c r="P22" i="31"/>
  <c r="K22" i="31"/>
  <c r="R21" i="31"/>
  <c r="P21" i="31"/>
  <c r="K21" i="31"/>
  <c r="R20" i="31"/>
  <c r="P20" i="31"/>
  <c r="K20" i="31"/>
  <c r="R19" i="31"/>
  <c r="P19" i="31"/>
  <c r="K19" i="31"/>
  <c r="R18" i="31"/>
  <c r="P18" i="31"/>
  <c r="K18" i="31"/>
  <c r="R42" i="30"/>
  <c r="P42" i="30"/>
  <c r="K42" i="30"/>
  <c r="R41" i="30"/>
  <c r="P41" i="30"/>
  <c r="K41" i="30"/>
  <c r="R40" i="30"/>
  <c r="P40" i="30"/>
  <c r="K40" i="30"/>
  <c r="R39" i="30"/>
  <c r="P39" i="30"/>
  <c r="K39" i="30"/>
  <c r="R38" i="30"/>
  <c r="P38" i="30"/>
  <c r="K38" i="30"/>
  <c r="R37" i="30"/>
  <c r="P37" i="30"/>
  <c r="K37" i="30"/>
  <c r="R36" i="30"/>
  <c r="P36" i="30"/>
  <c r="K36" i="30"/>
  <c r="R35" i="30"/>
  <c r="P35" i="30"/>
  <c r="K35" i="30"/>
  <c r="R34" i="30"/>
  <c r="P34" i="30"/>
  <c r="K34" i="30"/>
  <c r="R33" i="30"/>
  <c r="P33" i="30"/>
  <c r="K33" i="30"/>
  <c r="R32" i="30"/>
  <c r="P32" i="30"/>
  <c r="K32" i="30"/>
  <c r="R31" i="30"/>
  <c r="P31" i="30"/>
  <c r="K31" i="30"/>
  <c r="R30" i="30"/>
  <c r="P30" i="30"/>
  <c r="K30" i="30"/>
  <c r="R29" i="30"/>
  <c r="P29" i="30"/>
  <c r="K29" i="30"/>
  <c r="R28" i="30"/>
  <c r="P28" i="30"/>
  <c r="K28" i="30"/>
  <c r="R27" i="30"/>
  <c r="P27" i="30"/>
  <c r="K27" i="30"/>
  <c r="R26" i="30"/>
  <c r="P26" i="30"/>
  <c r="K26" i="30"/>
  <c r="R25" i="30"/>
  <c r="P25" i="30"/>
  <c r="K25" i="30"/>
  <c r="R24" i="30"/>
  <c r="P24" i="30"/>
  <c r="K24" i="30"/>
  <c r="R23" i="30"/>
  <c r="P23" i="30"/>
  <c r="K23" i="30"/>
  <c r="R22" i="30"/>
  <c r="P22" i="30"/>
  <c r="K22" i="30"/>
  <c r="R21" i="30"/>
  <c r="P21" i="30"/>
  <c r="K21" i="30"/>
  <c r="R20" i="30"/>
  <c r="P20" i="30"/>
  <c r="K20" i="30"/>
  <c r="R19" i="30"/>
  <c r="P19" i="30"/>
  <c r="K19" i="30"/>
  <c r="R18" i="30"/>
  <c r="P18" i="30"/>
  <c r="K18" i="30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R39" i="23"/>
  <c r="R40" i="23"/>
  <c r="R41" i="23"/>
  <c r="R42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R18" i="23"/>
  <c r="R18" i="22"/>
  <c r="P18" i="23"/>
  <c r="K18" i="23"/>
  <c r="R19" i="22"/>
  <c r="R20" i="22"/>
  <c r="R21" i="22"/>
  <c r="R22" i="22"/>
  <c r="R23" i="22"/>
  <c r="R24" i="22"/>
  <c r="R25" i="22"/>
  <c r="R26" i="22"/>
  <c r="R27" i="22"/>
  <c r="R28" i="22"/>
  <c r="R29" i="22"/>
  <c r="R30" i="22"/>
  <c r="R31" i="22"/>
  <c r="R32" i="22"/>
  <c r="R33" i="22"/>
  <c r="R34" i="22"/>
  <c r="R35" i="22"/>
  <c r="R36" i="22"/>
  <c r="R37" i="22"/>
  <c r="R38" i="22"/>
  <c r="R39" i="22"/>
  <c r="R40" i="22"/>
  <c r="R41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P18" i="22"/>
  <c r="K18" i="22"/>
  <c r="R19" i="21"/>
  <c r="R20" i="21"/>
  <c r="R21" i="21"/>
  <c r="R22" i="21"/>
  <c r="R23" i="21"/>
  <c r="R24" i="21"/>
  <c r="R25" i="21"/>
  <c r="R26" i="21"/>
  <c r="R27" i="21"/>
  <c r="R28" i="21"/>
  <c r="R29" i="21"/>
  <c r="R30" i="21"/>
  <c r="R31" i="21"/>
  <c r="R32" i="21"/>
  <c r="R33" i="21"/>
  <c r="R34" i="21"/>
  <c r="R35" i="21"/>
  <c r="R36" i="21"/>
  <c r="R37" i="21"/>
  <c r="R38" i="21"/>
  <c r="R39" i="21"/>
  <c r="R40" i="21"/>
  <c r="R41" i="21"/>
  <c r="R42" i="21"/>
  <c r="R43" i="21"/>
  <c r="R44" i="21"/>
  <c r="R45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R18" i="21"/>
  <c r="P18" i="21"/>
  <c r="K18" i="21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18" i="20"/>
  <c r="R18" i="18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18" i="20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18" i="19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K43" i="35" l="1"/>
  <c r="AA1" i="35" s="1"/>
  <c r="G17" i="1" s="1"/>
  <c r="M43" i="35"/>
  <c r="AA2" i="35" s="1"/>
  <c r="P43" i="35"/>
  <c r="R43" i="35"/>
  <c r="AA3" i="35" s="1"/>
  <c r="K43" i="34"/>
  <c r="AA1" i="34" s="1"/>
  <c r="F17" i="1" s="1"/>
  <c r="M43" i="34"/>
  <c r="AA2" i="34" s="1"/>
  <c r="P43" i="34"/>
  <c r="R43" i="34"/>
  <c r="AA3" i="34" s="1"/>
  <c r="K43" i="33"/>
  <c r="AA1" i="33" s="1"/>
  <c r="E17" i="1" s="1"/>
  <c r="M43" i="33"/>
  <c r="AA2" i="33" s="1"/>
  <c r="P43" i="33"/>
  <c r="R43" i="33"/>
  <c r="AA3" i="33" s="1"/>
  <c r="M43" i="32"/>
  <c r="AA2" i="32" s="1"/>
  <c r="P43" i="32"/>
  <c r="K43" i="32"/>
  <c r="AA1" i="32" s="1"/>
  <c r="D17" i="1" s="1"/>
  <c r="R43" i="32"/>
  <c r="AA3" i="32" s="1"/>
  <c r="M43" i="31"/>
  <c r="AA2" i="31" s="1"/>
  <c r="P43" i="31"/>
  <c r="K43" i="31"/>
  <c r="AA1" i="31" s="1"/>
  <c r="C17" i="1" s="1"/>
  <c r="R43" i="31"/>
  <c r="AA3" i="31" s="1"/>
  <c r="M43" i="30"/>
  <c r="AA2" i="30" s="1"/>
  <c r="K43" i="30"/>
  <c r="AA1" i="30" s="1"/>
  <c r="B17" i="1" s="1"/>
  <c r="P43" i="30"/>
  <c r="R43" i="30"/>
  <c r="AA3" i="30" s="1"/>
  <c r="R43" i="23"/>
  <c r="P43" i="23"/>
  <c r="M43" i="23"/>
  <c r="K43" i="23"/>
  <c r="M42" i="22"/>
  <c r="R42" i="22"/>
  <c r="P42" i="22"/>
  <c r="K42" i="22"/>
  <c r="R46" i="21"/>
  <c r="P46" i="21"/>
  <c r="M46" i="21"/>
  <c r="K46" i="21"/>
  <c r="R39" i="20"/>
  <c r="P39" i="20"/>
  <c r="M39" i="20"/>
  <c r="K39" i="20"/>
  <c r="R45" i="19"/>
  <c r="P45" i="19"/>
  <c r="M45" i="19"/>
  <c r="K45" i="19"/>
  <c r="P40" i="18"/>
  <c r="R40" i="18"/>
  <c r="M40" i="18"/>
  <c r="K40" i="18"/>
  <c r="AA4" i="35" l="1"/>
  <c r="G18" i="1" s="1"/>
  <c r="AA4" i="33"/>
  <c r="E18" i="1" s="1"/>
  <c r="AA4" i="34"/>
  <c r="F18" i="1" s="1"/>
  <c r="AA4" i="30"/>
  <c r="B18" i="1" s="1"/>
  <c r="AA4" i="32"/>
  <c r="D18" i="1" s="1"/>
  <c r="AA4" i="31"/>
  <c r="C18" i="1" s="1"/>
  <c r="AA3" i="23"/>
  <c r="AA2" i="23"/>
  <c r="AA1" i="23"/>
  <c r="G6" i="1" s="1"/>
  <c r="AA3" i="22"/>
  <c r="AA2" i="22"/>
  <c r="AA1" i="22"/>
  <c r="F6" i="1" s="1"/>
  <c r="AA3" i="21"/>
  <c r="AA2" i="21"/>
  <c r="AA1" i="21"/>
  <c r="E6" i="1" s="1"/>
  <c r="AA3" i="20"/>
  <c r="AA2" i="20"/>
  <c r="AA1" i="20"/>
  <c r="D6" i="1" s="1"/>
  <c r="AA3" i="19"/>
  <c r="AA2" i="19"/>
  <c r="AA1" i="19"/>
  <c r="C6" i="1" s="1"/>
  <c r="AA3" i="18"/>
  <c r="AA2" i="18"/>
  <c r="AA1" i="18"/>
  <c r="B6" i="1" s="1"/>
  <c r="AA4" i="22" l="1"/>
  <c r="F7" i="1" s="1"/>
  <c r="AA4" i="23"/>
  <c r="G7" i="1" s="1"/>
  <c r="AA4" i="21"/>
  <c r="E7" i="1" s="1"/>
  <c r="AA4" i="20"/>
  <c r="D7" i="1" s="1"/>
  <c r="AA4" i="18"/>
  <c r="B7" i="1" s="1"/>
  <c r="AA4" i="19"/>
  <c r="C7" i="1" s="1"/>
  <c r="B8" i="1" l="1"/>
  <c r="B13" i="1" l="1"/>
  <c r="B11" i="1"/>
  <c r="B12" i="1"/>
  <c r="B9" i="1"/>
  <c r="C8" i="1"/>
  <c r="C12" i="1" l="1"/>
  <c r="C13" i="1"/>
  <c r="C11" i="1"/>
  <c r="D8" i="1"/>
  <c r="C9" i="1"/>
  <c r="B14" i="1"/>
  <c r="D11" i="1" l="1"/>
  <c r="D12" i="1"/>
  <c r="D13" i="1"/>
  <c r="D9" i="1"/>
  <c r="E8" i="1"/>
  <c r="C14" i="1"/>
  <c r="E11" i="1" l="1"/>
  <c r="E12" i="1"/>
  <c r="E13" i="1"/>
  <c r="F8" i="1"/>
  <c r="E9" i="1"/>
  <c r="F12" i="1" l="1"/>
  <c r="F13" i="1"/>
  <c r="F11" i="1"/>
  <c r="E14" i="1"/>
  <c r="G8" i="1"/>
  <c r="F9" i="1"/>
  <c r="G11" i="1" l="1"/>
  <c r="G13" i="1"/>
  <c r="G12" i="1"/>
  <c r="F14" i="1"/>
  <c r="B19" i="1"/>
  <c r="B24" i="1" s="1"/>
  <c r="G9" i="1"/>
  <c r="B22" i="1" l="1"/>
  <c r="B23" i="1"/>
  <c r="G14" i="1"/>
  <c r="C19" i="1"/>
  <c r="B20" i="1"/>
  <c r="C23" i="1" l="1"/>
  <c r="C24" i="1"/>
  <c r="C22" i="1"/>
  <c r="B25" i="1"/>
  <c r="C20" i="1"/>
  <c r="D19" i="1"/>
  <c r="D22" i="1" l="1"/>
  <c r="D23" i="1"/>
  <c r="D24" i="1"/>
  <c r="D20" i="1"/>
  <c r="E19" i="1"/>
  <c r="C25" i="1"/>
  <c r="E23" i="1" l="1"/>
  <c r="E24" i="1"/>
  <c r="E22" i="1"/>
  <c r="E20" i="1"/>
  <c r="F19" i="1"/>
  <c r="D25" i="1"/>
  <c r="B26" i="1" s="1"/>
  <c r="F22" i="1" l="1"/>
  <c r="F23" i="1"/>
  <c r="F24" i="1"/>
  <c r="F20" i="1"/>
  <c r="G19" i="1"/>
  <c r="E25" i="1"/>
  <c r="D31" i="1" l="1"/>
  <c r="G22" i="1"/>
  <c r="E31" i="1" s="1"/>
  <c r="G24" i="1"/>
  <c r="E33" i="1" s="1"/>
  <c r="G23" i="1"/>
  <c r="E32" i="1" s="1"/>
  <c r="G20" i="1"/>
  <c r="F25" i="1"/>
  <c r="G25" i="1" l="1"/>
  <c r="G31" i="1" s="1"/>
  <c r="E26" i="1" l="1"/>
  <c r="H31" i="1" s="1"/>
  <c r="D14" i="1"/>
  <c r="B15" i="1" l="1"/>
  <c r="E15" i="1"/>
</calcChain>
</file>

<file path=xl/sharedStrings.xml><?xml version="1.0" encoding="utf-8"?>
<sst xmlns="http://schemas.openxmlformats.org/spreadsheetml/2006/main" count="1007" uniqueCount="92">
  <si>
    <t>Monthly Charges</t>
  </si>
  <si>
    <t>Monthly Collections</t>
  </si>
  <si>
    <t>Collections Cumulative Total</t>
  </si>
  <si>
    <t>Collections Towards Bonus</t>
  </si>
  <si>
    <t>Bonus: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</si>
  <si>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</si>
  <si>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</si>
  <si>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</si>
  <si>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</si>
  <si>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</si>
  <si>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</si>
  <si>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</si>
  <si>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</si>
  <si>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</si>
  <si>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</si>
  <si>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</si>
  <si>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From</t>
  </si>
  <si>
    <t>To</t>
  </si>
  <si>
    <t>Bonus %</t>
  </si>
  <si>
    <t>-</t>
  </si>
  <si>
    <t>Calculations</t>
  </si>
  <si>
    <t>NOTE: Total for the services column may not match the sum of totals if multiple procedure codes are present on the same superbill (to avoid counting the same superbill twice)</t>
  </si>
  <si>
    <t>Total</t>
  </si>
  <si>
    <t>Initial Inpatient Hospital Care Level 3</t>
  </si>
  <si>
    <t>99223</t>
  </si>
  <si>
    <t>E/M Service Est Patient Level 4</t>
  </si>
  <si>
    <t>99214</t>
  </si>
  <si>
    <t>E/M Service Est Patient Level 3</t>
  </si>
  <si>
    <t>99213</t>
  </si>
  <si>
    <t>E/M Service New Patient Level 3</t>
  </si>
  <si>
    <t>99203</t>
  </si>
  <si>
    <t>E/M Service Est Patient Level 5</t>
  </si>
  <si>
    <t>99215</t>
  </si>
  <si>
    <t>E/M Service Est Patient Level 1</t>
  </si>
  <si>
    <t>99211</t>
  </si>
  <si>
    <t>E/M Service Est Patient Level 2</t>
  </si>
  <si>
    <t>99212</t>
  </si>
  <si>
    <t>E/M Service New Patient Level 5</t>
  </si>
  <si>
    <t>99205</t>
  </si>
  <si>
    <t>Subsequent Hospital Care Level 2</t>
  </si>
  <si>
    <t>99232</t>
  </si>
  <si>
    <t>Subsequent Hospital Care Level 3</t>
  </si>
  <si>
    <t>99233</t>
  </si>
  <si>
    <t>E/M Service New Patient Level 4</t>
  </si>
  <si>
    <t>99204</t>
  </si>
  <si>
    <t>Refunds</t>
  </si>
  <si>
    <t>Adjustments</t>
  </si>
  <si>
    <t>Payments</t>
  </si>
  <si>
    <t>Charges</t>
  </si>
  <si>
    <t>Units</t>
  </si>
  <si>
    <t>Description</t>
  </si>
  <si>
    <t>Code</t>
  </si>
  <si>
    <t>Accounting Date From:</t>
  </si>
  <si>
    <t>ALL</t>
  </si>
  <si>
    <t>Cost Center(s):</t>
  </si>
  <si>
    <t>Professional</t>
  </si>
  <si>
    <t>Bill Type:</t>
  </si>
  <si>
    <t>Carrier(s):</t>
  </si>
  <si>
    <t>00731, 00811, 00812, 00813, 1000F, 1036F, 3017F, 4004F, 99201, 99202, 99203, 99204, 99205, 99211, 99212, 99213, 99214, 99215, 99219, 99222, 99223, 99224, 99225, 99231, 99232, 99233, 99234, 99235, 99236, 99238, 99241, 99242, 99243, 99244, 99245, 99251, 99252, 99253, 99254, 99255, 99281, 99282, 99283, 99284, 99285, 99291, 99292, S0285, SPL, 82150, 82397, 82784, 83690, 86140, 88312, 43200, 43226, 43235, 43236, 43239, 43241, 43244, 43245, 43246, 43247, 43248, 43249, 43250, 43251, 43255, 43260, 43261, 43262, 43264, 43265, 43274, 43275, 43277, 43450, 43762, 44360, 44361, 44363, 44364, 44365, 44366, 44378, 44380, 44386, 44388, 44389, 44390, 44391, 44392, 44394, 44705, 45305, 45330, 45331, 45332, 45333, 45334, 45335, 45337, 45338, 45340, 45378, 45379, 45380, 45381, 45382, 45384, 45385, 45386, 45390, 45393, 45398, 91010, 91035, 91037, 91110, 99152, 99153, G0104, G0105, G0121, G0455</t>
  </si>
  <si>
    <t>CPT Code(s):</t>
  </si>
  <si>
    <t>Payer Group(s):</t>
  </si>
  <si>
    <t>Billing Group(s):</t>
  </si>
  <si>
    <t>Location(s):</t>
  </si>
  <si>
    <t>Billing Provider(s):</t>
  </si>
  <si>
    <t>Performing Provider(s):</t>
  </si>
  <si>
    <t>Business Unit:</t>
  </si>
  <si>
    <t>Page 1 of 1</t>
  </si>
  <si>
    <t>Procedure Code Frequency Report</t>
  </si>
  <si>
    <t>January</t>
  </si>
  <si>
    <t>Initial Inpatient Consult Level 4</t>
  </si>
  <si>
    <t>99254</t>
  </si>
  <si>
    <t>Cumulative Bonus Earned</t>
  </si>
  <si>
    <t>Quarterly Bonus Earned</t>
  </si>
  <si>
    <t>Quarter 1</t>
  </si>
  <si>
    <t>Quarter 2</t>
  </si>
  <si>
    <t>Quarter 3</t>
  </si>
  <si>
    <t>Quarter 4</t>
  </si>
  <si>
    <t>1st hosp ip/obs moderate 55</t>
  </si>
  <si>
    <t>99222</t>
  </si>
  <si>
    <t>Amylase</t>
  </si>
  <si>
    <t>82150</t>
  </si>
  <si>
    <t>Lipase</t>
  </si>
  <si>
    <t>83690</t>
  </si>
  <si>
    <t>CRP</t>
  </si>
  <si>
    <t>86140</t>
  </si>
  <si>
    <t>office visit before a screening colonoscopy</t>
  </si>
  <si>
    <t>S0285</t>
  </si>
  <si>
    <t>Cumulative Bonus earned</t>
  </si>
  <si>
    <t>Total Collections through 12/24</t>
  </si>
  <si>
    <t>Example</t>
  </si>
  <si>
    <t>Bonus due current period (Q4):</t>
  </si>
  <si>
    <t>Example Productivity Bonus Calculator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</si>
</sst>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-10409]&quot;$&quot;#,##0.00;\(&quot;$&quot;#,##0.00\)"/>
    <numFmt numFmtId="166" formatCode="[$-10409]m/d/yyyy"/>
    <numFmt numFmtId="167" formatCode="[$-10409]m/d/yyyy\ h:mm:ss\ AM/PM"/>
  </numFmts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sz val="8"/>
      <color rgb="FFFFFFFF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5" xfId="0" applyNumberFormat="1" applyBorder="1" applyAlignment="1">
      <alignment horizontal="center" vertical="top"/>
    </xf>
    <xf numFmtId="9" fontId="0" fillId="0" borderId="3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0" fontId="3" fillId="0" borderId="0" xfId="1" applyFont="1"/>
    <xf numFmtId="0" fontId="4" fillId="0" borderId="0" xfId="1" applyFont="1" applyAlignment="1">
      <alignment horizontal="left" vertical="top" wrapText="1" readingOrder="1"/>
    </xf>
    <xf numFmtId="165" fontId="5" fillId="0" borderId="19" xfId="1" applyNumberFormat="1" applyFont="1" applyBorder="1" applyAlignment="1">
      <alignment horizontal="right" vertical="top" wrapText="1" readingOrder="1"/>
    </xf>
    <xf numFmtId="0" fontId="5" fillId="0" borderId="19" xfId="1" applyFont="1" applyBorder="1" applyAlignment="1">
      <alignment horizontal="right" vertical="top" wrapText="1" readingOrder="1"/>
    </xf>
    <xf numFmtId="165" fontId="4" fillId="0" borderId="19" xfId="1" applyNumberFormat="1" applyFont="1" applyBorder="1" applyAlignment="1">
      <alignment horizontal="right" vertical="top" wrapText="1" readingOrder="1"/>
    </xf>
    <xf numFmtId="0" fontId="4" fillId="0" borderId="19" xfId="1" applyFont="1" applyBorder="1" applyAlignment="1">
      <alignment horizontal="right" vertical="top" wrapText="1" readingOrder="1"/>
    </xf>
    <xf numFmtId="0" fontId="6" fillId="2" borderId="19" xfId="1" applyFont="1" applyFill="1" applyBorder="1" applyAlignment="1">
      <alignment horizontal="left" vertical="top" wrapText="1" readingOrder="1"/>
    </xf>
    <xf numFmtId="164" fontId="0" fillId="3" borderId="6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164" fontId="0" fillId="4" borderId="7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4" borderId="8" xfId="0" applyNumberFormat="1" applyFill="1" applyBorder="1" applyAlignment="1">
      <alignment horizontal="center"/>
    </xf>
    <xf numFmtId="164" fontId="0" fillId="5" borderId="6" xfId="0" applyNumberFormat="1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5" borderId="8" xfId="0" applyNumberFormat="1" applyFill="1" applyBorder="1" applyAlignment="1">
      <alignment horizontal="center"/>
    </xf>
    <xf numFmtId="164" fontId="0" fillId="6" borderId="7" xfId="0" applyNumberFormat="1" applyFill="1" applyBorder="1" applyAlignment="1">
      <alignment horizontal="center"/>
    </xf>
    <xf numFmtId="164" fontId="0" fillId="6" borderId="8" xfId="0" applyNumberFormat="1" applyFill="1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164" fontId="0" fillId="4" borderId="23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3" borderId="24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164" fontId="0" fillId="5" borderId="23" xfId="0" applyNumberFormat="1" applyFill="1" applyBorder="1" applyAlignment="1">
      <alignment horizontal="center"/>
    </xf>
    <xf numFmtId="164" fontId="0" fillId="6" borderId="29" xfId="0" applyNumberFormat="1" applyFill="1" applyBorder="1" applyAlignment="1">
      <alignment horizontal="center"/>
    </xf>
    <xf numFmtId="164" fontId="0" fillId="6" borderId="30" xfId="0" applyNumberFormat="1" applyFill="1" applyBorder="1" applyAlignment="1">
      <alignment horizontal="center"/>
    </xf>
    <xf numFmtId="164" fontId="0" fillId="6" borderId="31" xfId="0" applyNumberFormat="1" applyFill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0" fillId="5" borderId="5" xfId="0" applyNumberForma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164" fontId="0" fillId="5" borderId="29" xfId="0" applyNumberFormat="1" applyFill="1" applyBorder="1" applyAlignment="1">
      <alignment horizontal="center"/>
    </xf>
    <xf numFmtId="164" fontId="0" fillId="5" borderId="32" xfId="0" applyNumberFormat="1" applyFill="1" applyBorder="1" applyAlignment="1">
      <alignment horizontal="center"/>
    </xf>
    <xf numFmtId="164" fontId="0" fillId="5" borderId="30" xfId="0" applyNumberFormat="1" applyFill="1" applyBorder="1" applyAlignment="1">
      <alignment horizontal="center"/>
    </xf>
    <xf numFmtId="164" fontId="0" fillId="5" borderId="31" xfId="0" applyNumberFormat="1" applyFill="1" applyBorder="1" applyAlignment="1">
      <alignment horizontal="center"/>
    </xf>
    <xf numFmtId="164" fontId="0" fillId="6" borderId="23" xfId="0" applyNumberFormat="1" applyFill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3" borderId="25" xfId="0" applyNumberFormat="1" applyFill="1" applyBorder="1" applyAlignment="1">
      <alignment horizontal="center"/>
    </xf>
    <xf numFmtId="164" fontId="0" fillId="3" borderId="26" xfId="0" applyNumberFormat="1" applyFill="1" applyBorder="1" applyAlignment="1">
      <alignment horizontal="center"/>
    </xf>
    <xf numFmtId="164" fontId="0" fillId="3" borderId="27" xfId="0" applyNumberFormat="1" applyFill="1" applyBorder="1" applyAlignment="1">
      <alignment horizontal="center"/>
    </xf>
    <xf numFmtId="164" fontId="0" fillId="4" borderId="25" xfId="0" applyNumberFormat="1" applyFill="1" applyBorder="1" applyAlignment="1">
      <alignment horizontal="center"/>
    </xf>
    <xf numFmtId="164" fontId="0" fillId="4" borderId="26" xfId="0" applyNumberFormat="1" applyFill="1" applyBorder="1" applyAlignment="1">
      <alignment horizontal="center"/>
    </xf>
    <xf numFmtId="164" fontId="0" fillId="4" borderId="27" xfId="0" applyNumberFormat="1" applyFill="1" applyBorder="1" applyAlignment="1">
      <alignment horizontal="center"/>
    </xf>
    <xf numFmtId="164" fontId="0" fillId="5" borderId="25" xfId="0" applyNumberFormat="1" applyFill="1" applyBorder="1" applyAlignment="1">
      <alignment horizontal="center"/>
    </xf>
    <xf numFmtId="164" fontId="0" fillId="5" borderId="26" xfId="0" applyNumberFormat="1" applyFill="1" applyBorder="1" applyAlignment="1">
      <alignment horizontal="center"/>
    </xf>
    <xf numFmtId="164" fontId="0" fillId="5" borderId="27" xfId="0" applyNumberFormat="1" applyFill="1" applyBorder="1" applyAlignment="1">
      <alignment horizontal="center"/>
    </xf>
    <xf numFmtId="164" fontId="0" fillId="6" borderId="25" xfId="0" applyNumberFormat="1" applyFill="1" applyBorder="1" applyAlignment="1">
      <alignment horizontal="center"/>
    </xf>
    <xf numFmtId="164" fontId="0" fillId="6" borderId="26" xfId="0" applyNumberFormat="1" applyFill="1" applyBorder="1" applyAlignment="1">
      <alignment horizontal="center"/>
    </xf>
    <xf numFmtId="164" fontId="0" fillId="6" borderId="27" xfId="0" applyNumberFormat="1" applyFill="1" applyBorder="1" applyAlignment="1">
      <alignment horizontal="center"/>
    </xf>
    <xf numFmtId="0" fontId="5" fillId="0" borderId="19" xfId="1" applyFont="1" applyBorder="1" applyAlignment="1">
      <alignment horizontal="right" vertical="top" wrapText="1" readingOrder="1"/>
    </xf>
    <xf numFmtId="0" fontId="3" fillId="0" borderId="21" xfId="1" applyFont="1" applyBorder="1" applyAlignment="1">
      <alignment vertical="top" wrapText="1"/>
    </xf>
    <xf numFmtId="0" fontId="3" fillId="0" borderId="20" xfId="1" applyFont="1" applyBorder="1" applyAlignment="1">
      <alignment vertical="top" wrapText="1"/>
    </xf>
    <xf numFmtId="165" fontId="5" fillId="0" borderId="19" xfId="1" applyNumberFormat="1" applyFont="1" applyBorder="1" applyAlignment="1">
      <alignment horizontal="right" vertical="top" wrapText="1" readingOrder="1"/>
    </xf>
    <xf numFmtId="0" fontId="4" fillId="0" borderId="0" xfId="1" applyFont="1" applyAlignment="1">
      <alignment horizontal="left" vertical="top" wrapText="1" readingOrder="1"/>
    </xf>
    <xf numFmtId="0" fontId="3" fillId="0" borderId="0" xfId="1" applyFont="1"/>
    <xf numFmtId="0" fontId="4" fillId="0" borderId="19" xfId="1" applyFont="1" applyBorder="1" applyAlignment="1">
      <alignment vertical="top" wrapText="1" readingOrder="1"/>
    </xf>
    <xf numFmtId="165" fontId="4" fillId="0" borderId="19" xfId="1" applyNumberFormat="1" applyFont="1" applyBorder="1" applyAlignment="1">
      <alignment horizontal="right" vertical="top" wrapText="1" readingOrder="1"/>
    </xf>
    <xf numFmtId="0" fontId="7" fillId="0" borderId="0" xfId="1" applyFont="1" applyAlignment="1">
      <alignment horizontal="right" vertical="top" wrapText="1" readingOrder="1"/>
    </xf>
    <xf numFmtId="0" fontId="7" fillId="0" borderId="0" xfId="1" applyFont="1" applyAlignment="1">
      <alignment vertical="top" wrapText="1" readingOrder="1"/>
    </xf>
    <xf numFmtId="166" fontId="7" fillId="0" borderId="0" xfId="1" applyNumberFormat="1" applyFont="1" applyAlignment="1">
      <alignment horizontal="left" vertical="top" wrapText="1" readingOrder="1"/>
    </xf>
    <xf numFmtId="0" fontId="6" fillId="2" borderId="19" xfId="1" applyFont="1" applyFill="1" applyBorder="1" applyAlignment="1">
      <alignment vertical="top" wrapText="1" readingOrder="1"/>
    </xf>
    <xf numFmtId="0" fontId="6" fillId="2" borderId="19" xfId="1" applyFont="1" applyFill="1" applyBorder="1" applyAlignment="1">
      <alignment horizontal="left" vertical="top" wrapText="1" readingOrder="1"/>
    </xf>
    <xf numFmtId="167" fontId="4" fillId="0" borderId="0" xfId="1" applyNumberFormat="1" applyFont="1" applyAlignment="1">
      <alignment horizontal="left" vertical="top" wrapText="1" readingOrder="1"/>
    </xf>
    <xf numFmtId="164" fontId="0" fillId="0" borderId="0" xfId="0" applyNumberFormat="1"/>
    <xf numFmtId="9" fontId="0" fillId="0" borderId="0" xfId="0" applyNumberFormat="1"/>
    <xf numFmtId="10" fontId="0" fillId="0" borderId="13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0" fontId="0" fillId="0" borderId="18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50501A85-14EF-405F-A147-C4C2DD260B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4A4B-0C7F-4B1F-9EEA-2B3C7EAC001A}">
  <sheetPr>
    <pageSetUpPr fitToPage="1"/>
  </sheetPr>
  <dimension ref="A1:K33"/>
  <sheetViews>
    <sheetView tabSelected="1" workbookViewId="0">
      <selection sqref="A1:A4"/>
    </sheetView>
  </sheetViews>
  <sheetFormatPr defaultRowHeight="15" x14ac:dyDescent="0.25"/>
  <cols>
    <col min="1" max="1" width="27" customWidth="1"/>
    <col min="2" max="7" width="16.7109375" customWidth="1"/>
    <col min="8" max="8" width="15.7109375" customWidth="1"/>
    <col min="9" max="10" width="11.140625" bestFit="1" customWidth="1"/>
    <col min="11" max="11" width="17" bestFit="1" customWidth="1"/>
  </cols>
  <sheetData>
    <row r="1" spans="1:8" x14ac:dyDescent="0.25">
      <c r="A1" s="94" t="s">
        <v>91</v>
      </c>
      <c r="C1" s="60">
        <v>2024</v>
      </c>
      <c r="D1" s="61"/>
    </row>
    <row r="2" spans="1:8" x14ac:dyDescent="0.25">
      <c r="A2" s="95"/>
      <c r="C2" s="61"/>
      <c r="D2" s="61"/>
    </row>
    <row r="3" spans="1:8" x14ac:dyDescent="0.25">
      <c r="A3" s="95"/>
      <c r="C3" s="61"/>
      <c r="D3" s="61"/>
    </row>
    <row r="4" spans="1:8" x14ac:dyDescent="0.25">
      <c r="A4" s="95"/>
      <c r="C4" s="61"/>
      <c r="D4" s="61"/>
    </row>
    <row r="5" spans="1:8" ht="15.75" thickBot="1" x14ac:dyDescent="0.3">
      <c r="B5" s="1" t="s">
        <v>68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8" x14ac:dyDescent="0.25">
      <c r="A6" s="11" t="s">
        <v>0</v>
      </c>
      <c r="B6" s="24">
        <f ca="1">IFERROR(January!AA1,0)</f>
        <v>380947</v>
      </c>
      <c r="C6" s="24">
        <f ca="1">IFERROR(February!AA1,0)</f>
        <v>461379</v>
      </c>
      <c r="D6" s="24">
        <f ca="1">IFERROR(March!AA1,0)</f>
        <v>415640</v>
      </c>
      <c r="E6" s="28">
        <f ca="1">IFERROR(April!AA1,0)</f>
        <v>384964</v>
      </c>
      <c r="F6" s="28">
        <f ca="1">IFERROR(May!AA1,0)</f>
        <v>393418</v>
      </c>
      <c r="G6" s="28">
        <f ca="1">IFERROR(June!AA1,0)</f>
        <v>379996</v>
      </c>
    </row>
    <row r="7" spans="1:8" x14ac:dyDescent="0.25">
      <c r="A7" s="12" t="s">
        <v>1</v>
      </c>
      <c r="B7" s="25">
        <f ca="1">IFERROR(January!AA4,0)</f>
        <v>52154</v>
      </c>
      <c r="C7" s="25">
        <f ca="1">IFERROR(February!AA4,0)</f>
        <v>95666</v>
      </c>
      <c r="D7" s="25">
        <f ca="1">IFERROR(March!AA4,0)</f>
        <v>66705</v>
      </c>
      <c r="E7" s="29">
        <f ca="1">IFERROR(April!AA4,0)</f>
        <v>88853</v>
      </c>
      <c r="F7" s="29">
        <f ca="1">IFERROR(May!AA4,0)</f>
        <v>80226</v>
      </c>
      <c r="G7" s="29">
        <f ca="1">IFERROR(June!AA4,0)</f>
        <v>91729</v>
      </c>
    </row>
    <row r="8" spans="1:8" x14ac:dyDescent="0.25">
      <c r="A8" s="12" t="s">
        <v>2</v>
      </c>
      <c r="B8" s="25">
        <f ca="1">B7</f>
        <v>52154</v>
      </c>
      <c r="C8" s="25">
        <f ca="1">SUM(B8,C7)</f>
        <v>147820</v>
      </c>
      <c r="D8" s="25">
        <f ca="1">SUM(C8,D7)</f>
        <v>214525</v>
      </c>
      <c r="E8" s="29">
        <f t="shared" ref="E8:G8" ca="1" si="0">SUM(D8,E7)</f>
        <v>303378</v>
      </c>
      <c r="F8" s="29">
        <f t="shared" ca="1" si="0"/>
        <v>383604</v>
      </c>
      <c r="G8" s="29">
        <f t="shared" ca="1" si="0"/>
        <v>475333</v>
      </c>
    </row>
    <row r="9" spans="1:8" x14ac:dyDescent="0.25">
      <c r="A9" s="12" t="s">
        <v>3</v>
      </c>
      <c r="B9" s="25">
        <f ca="1">IF(B8&lt;180000,0,B8-180000)</f>
        <v>0</v>
      </c>
      <c r="C9" s="25">
        <f t="shared" ref="C9:D9" ca="1" si="1">IF(C8&lt;180000,0,C8-180000)</f>
        <v>0</v>
      </c>
      <c r="D9" s="25">
        <f t="shared" ca="1" si="1"/>
        <v>34525</v>
      </c>
      <c r="E9" s="29">
        <f t="shared" ref="E9:G9" ca="1" si="2">IF(E8&lt;180000,0,E8-180000)</f>
        <v>123378</v>
      </c>
      <c r="F9" s="29">
        <f t="shared" ca="1" si="2"/>
        <v>203604</v>
      </c>
      <c r="G9" s="29">
        <f t="shared" ca="1" si="2"/>
        <v>295333</v>
      </c>
    </row>
    <row r="10" spans="1:8" ht="20.100000000000001" customHeight="1" thickBot="1" x14ac:dyDescent="0.3">
      <c r="A10" s="13" t="s">
        <v>4</v>
      </c>
      <c r="B10" s="26"/>
      <c r="C10" s="26"/>
      <c r="D10" s="26"/>
      <c r="E10" s="30"/>
      <c r="F10" s="30"/>
      <c r="G10" s="30"/>
    </row>
    <row r="11" spans="1:8" x14ac:dyDescent="0.25">
      <c r="A11" s="14">
        <f>C31</f>
        <v>0.25</v>
      </c>
      <c r="B11" s="27">
        <f ca="1">IF(B8&lt;$A31,0,IF(B8&gt;$B31,(($B31-$A31)*$C31),(B8-$A31)*$C31))</f>
        <v>0</v>
      </c>
      <c r="C11" s="27">
        <f t="shared" ref="C11:D11" ca="1" si="3">IF(C8&lt;$A31,0,IF(C8&gt;$B31,(($B31-$A31)*$C31),(C8-$A31)*$C31))</f>
        <v>0</v>
      </c>
      <c r="D11" s="27">
        <f t="shared" ca="1" si="3"/>
        <v>0</v>
      </c>
      <c r="E11" s="31">
        <f ca="1">IF(E8&lt;$A31,0,IF(E8&gt;$B31,(($B31-$A31)*$C31),(E8-$A31)*$C31))</f>
        <v>0</v>
      </c>
      <c r="F11" s="31">
        <f t="shared" ref="F11:G11" ca="1" si="4">IF(F8&lt;$A31,0,IF(F8&gt;$B31,(($B31-$A31)*$C31),(F8-$A31)*$C31))</f>
        <v>8401</v>
      </c>
      <c r="G11" s="31">
        <f t="shared" ca="1" si="4"/>
        <v>25000</v>
      </c>
    </row>
    <row r="12" spans="1:8" x14ac:dyDescent="0.25">
      <c r="A12" s="15">
        <f>C32</f>
        <v>0.3</v>
      </c>
      <c r="B12" s="25">
        <f ca="1">IF(B8&lt;$A32,0,IF(B8&gt;$B32,(($B32-$A32)*$C32),(B8-$A32)*$C32))</f>
        <v>0</v>
      </c>
      <c r="C12" s="25">
        <f t="shared" ref="C12:D12" ca="1" si="5">IF(C8&lt;$A32,0,IF(C8&gt;$B32,(($B32-$A32)*$C32),(C8-$A32)*$C32))</f>
        <v>0</v>
      </c>
      <c r="D12" s="25">
        <f t="shared" ca="1" si="5"/>
        <v>0</v>
      </c>
      <c r="E12" s="29">
        <f ca="1">IF(E8&lt;$A32,0,IF(E8&gt;$B32,(($B32-$A32)*$C32),(E8-$A32)*$C32))</f>
        <v>0</v>
      </c>
      <c r="F12" s="29">
        <f t="shared" ref="F12:G12" ca="1" si="6">IF(F8&lt;$A32,0,IF(F8&gt;$B32,(($B32-$A32)*$C32),(F8-$A32)*$C32))</f>
        <v>0</v>
      </c>
      <c r="G12" s="29">
        <f t="shared" ca="1" si="6"/>
        <v>7599.9</v>
      </c>
    </row>
    <row r="13" spans="1:8" x14ac:dyDescent="0.25">
      <c r="A13" s="15">
        <f>C33</f>
        <v>0.35</v>
      </c>
      <c r="B13" s="25">
        <f ca="1">IF(B8&lt;$A33,0,(B8-$A33)*$C33)</f>
        <v>0</v>
      </c>
      <c r="C13" s="25">
        <f t="shared" ref="C13:D13" ca="1" si="7">IF(C8&lt;$A33,0,(C8-$A33)*$C33)</f>
        <v>0</v>
      </c>
      <c r="D13" s="25">
        <f t="shared" ca="1" si="7"/>
        <v>0</v>
      </c>
      <c r="E13" s="29">
        <f ca="1">IF(E8&lt;$A33,0,(E8-$A33)*$C33)</f>
        <v>0</v>
      </c>
      <c r="F13" s="29">
        <f t="shared" ref="F13:G13" ca="1" si="8">IF(F8&lt;$A33,0,(F8-$A33)*$C33)</f>
        <v>0</v>
      </c>
      <c r="G13" s="29">
        <f t="shared" ca="1" si="8"/>
        <v>0</v>
      </c>
    </row>
    <row r="14" spans="1:8" ht="15.75" thickBot="1" x14ac:dyDescent="0.3">
      <c r="A14" s="38" t="s">
        <v>71</v>
      </c>
      <c r="B14" s="39">
        <f ca="1">SUM(B11:B13)</f>
        <v>0</v>
      </c>
      <c r="C14" s="39">
        <f t="shared" ref="C14:D14" ca="1" si="9">SUM(C11:C13)</f>
        <v>0</v>
      </c>
      <c r="D14" s="39">
        <f t="shared" ca="1" si="9"/>
        <v>0</v>
      </c>
      <c r="E14" s="40">
        <f t="shared" ref="E14:G14" ca="1" si="10">SUM(E11:E13)</f>
        <v>0</v>
      </c>
      <c r="F14" s="40">
        <f t="shared" ca="1" si="10"/>
        <v>8401</v>
      </c>
      <c r="G14" s="40">
        <f t="shared" ca="1" si="10"/>
        <v>32599.9</v>
      </c>
    </row>
    <row r="15" spans="1:8" ht="15.75" thickBot="1" x14ac:dyDescent="0.3">
      <c r="A15" s="41" t="s">
        <v>72</v>
      </c>
      <c r="B15" s="63">
        <f ca="1">D14</f>
        <v>0</v>
      </c>
      <c r="C15" s="64"/>
      <c r="D15" s="65"/>
      <c r="E15" s="66">
        <f ca="1">G14-D14</f>
        <v>32599.9</v>
      </c>
      <c r="F15" s="67"/>
      <c r="G15" s="68"/>
    </row>
    <row r="16" spans="1:8" ht="15" customHeight="1" thickBot="1" x14ac:dyDescent="0.3">
      <c r="A16" s="3"/>
      <c r="B16" s="1" t="s">
        <v>10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/>
    </row>
    <row r="17" spans="1:11" ht="15" customHeight="1" x14ac:dyDescent="0.25">
      <c r="A17" s="11" t="s">
        <v>0</v>
      </c>
      <c r="B17" s="50">
        <f ca="1">IFERROR(July!AA1,0)</f>
        <v>409615</v>
      </c>
      <c r="C17" s="32">
        <f ca="1">IFERROR(August!AA1,0)</f>
        <v>418356</v>
      </c>
      <c r="D17" s="54">
        <f ca="1">IFERROR(September!AA1,0)</f>
        <v>475206</v>
      </c>
      <c r="E17" s="47">
        <f ca="1">IFERROR(October!AA1,0)</f>
        <v>324339</v>
      </c>
      <c r="F17" s="47">
        <f ca="1">IFERROR(November!AA1,0)</f>
        <v>406041</v>
      </c>
      <c r="G17" s="47">
        <f ca="1">IFERROR(December!AA1,0)</f>
        <v>444337</v>
      </c>
    </row>
    <row r="18" spans="1:11" x14ac:dyDescent="0.25">
      <c r="A18" s="12" t="s">
        <v>1</v>
      </c>
      <c r="B18" s="51">
        <f ca="1">IFERROR(July!AA4,0)</f>
        <v>94535</v>
      </c>
      <c r="C18" s="35">
        <f ca="1">IFERROR(August!AA4,0)</f>
        <v>63691</v>
      </c>
      <c r="D18" s="55">
        <f ca="1">IFERROR(September!AA4,0)</f>
        <v>90948</v>
      </c>
      <c r="E18" s="48">
        <f ca="1">IFERROR(October!AA4,0)</f>
        <v>80385</v>
      </c>
      <c r="F18" s="48">
        <f ca="1">IFERROR(November!AA4,0)</f>
        <v>71910</v>
      </c>
      <c r="G18" s="48">
        <f ca="1">IFERROR(December!AA4,0)</f>
        <v>77426</v>
      </c>
    </row>
    <row r="19" spans="1:11" x14ac:dyDescent="0.25">
      <c r="A19" s="12" t="s">
        <v>2</v>
      </c>
      <c r="B19" s="52">
        <f ca="1">SUM(G8,B18)</f>
        <v>569868</v>
      </c>
      <c r="C19" s="33">
        <f ca="1">SUM(B19,C18)</f>
        <v>633559</v>
      </c>
      <c r="D19" s="56">
        <f ca="1">SUM(C19,D18)</f>
        <v>724507</v>
      </c>
      <c r="E19" s="48">
        <f ca="1">SUM(D19,E18)</f>
        <v>804892</v>
      </c>
      <c r="F19" s="48">
        <f t="shared" ref="F19:G19" ca="1" si="11">SUM(E19,F18)</f>
        <v>876802</v>
      </c>
      <c r="G19" s="48">
        <f t="shared" ca="1" si="11"/>
        <v>954228</v>
      </c>
    </row>
    <row r="20" spans="1:11" x14ac:dyDescent="0.25">
      <c r="A20" s="12" t="s">
        <v>3</v>
      </c>
      <c r="B20" s="52">
        <f ca="1">IF(B19&lt;180000,0,B19-180000)</f>
        <v>389868</v>
      </c>
      <c r="C20" s="33">
        <f t="shared" ref="C20:D20" ca="1" si="12">IF(C19&lt;180000,0,C19-180000)</f>
        <v>453559</v>
      </c>
      <c r="D20" s="56">
        <f t="shared" ca="1" si="12"/>
        <v>544507</v>
      </c>
      <c r="E20" s="48">
        <f t="shared" ref="E20:G20" ca="1" si="13">IF(E19&lt;180000,0,E19-180000)</f>
        <v>624892</v>
      </c>
      <c r="F20" s="48">
        <f t="shared" ca="1" si="13"/>
        <v>696802</v>
      </c>
      <c r="G20" s="48">
        <f t="shared" ca="1" si="13"/>
        <v>774228</v>
      </c>
    </row>
    <row r="21" spans="1:11" ht="20.100000000000001" customHeight="1" thickBot="1" x14ac:dyDescent="0.3">
      <c r="A21" s="13" t="s">
        <v>4</v>
      </c>
      <c r="B21" s="53"/>
      <c r="C21" s="34"/>
      <c r="D21" s="57"/>
      <c r="E21" s="49"/>
      <c r="F21" s="49"/>
      <c r="G21" s="49"/>
    </row>
    <row r="22" spans="1:11" x14ac:dyDescent="0.25">
      <c r="A22" s="16">
        <f>C31</f>
        <v>0.25</v>
      </c>
      <c r="B22" s="35">
        <f ca="1">IF(B19&lt;$A31,0,IF(B19&gt;$B31,(($B31-$A31)*$C31),(B19-$A31)*$C31))</f>
        <v>25000</v>
      </c>
      <c r="C22" s="35">
        <f t="shared" ref="C22:D22" ca="1" si="14">IF(C19&lt;$A31,0,IF(C19&gt;$B31,(($B31-$A31)*$C31),(C19-$A31)*$C31))</f>
        <v>25000</v>
      </c>
      <c r="D22" s="35">
        <f t="shared" ca="1" si="14"/>
        <v>25000</v>
      </c>
      <c r="E22" s="37">
        <f ca="1">IF(E19&lt;$A31,0,IF(E19&gt;$B31,(($B31-$A31)*$C31),(E19-$A31)*$C31))</f>
        <v>25000</v>
      </c>
      <c r="F22" s="37">
        <f t="shared" ref="F22:G22" ca="1" si="15">IF(F19&lt;$A31,0,IF(F19&gt;$B31,(($B31-$A31)*$C31),(F19-$A31)*$C31))</f>
        <v>25000</v>
      </c>
      <c r="G22" s="37">
        <f t="shared" ca="1" si="15"/>
        <v>25000</v>
      </c>
    </row>
    <row r="23" spans="1:11" x14ac:dyDescent="0.25">
      <c r="A23" s="15">
        <f>C32</f>
        <v>0.3</v>
      </c>
      <c r="B23" s="33">
        <f ca="1">IF(B19&lt;$A32,0,IF(B19&gt;$B32,(($B32-$A32)*$C32),(B19-$A32)*$C32))</f>
        <v>35960.400000000001</v>
      </c>
      <c r="C23" s="33">
        <f t="shared" ref="C23:D23" ca="1" si="16">IF(C19&lt;$A32,0,IF(C19&gt;$B32,(($B32-$A32)*$C32),(C19-$A32)*$C32))</f>
        <v>45000</v>
      </c>
      <c r="D23" s="33">
        <f t="shared" ca="1" si="16"/>
        <v>45000</v>
      </c>
      <c r="E23" s="36">
        <f ca="1">IF(E19&lt;$A32,0,IF(E19&gt;$B32,(($B32-$A32)*$C32),(E19-$A32)*$C32))</f>
        <v>45000</v>
      </c>
      <c r="F23" s="36">
        <f t="shared" ref="F23:G23" ca="1" si="17">IF(F19&lt;$A32,0,IF(F19&gt;$B32,(($B32-$A32)*$C32),(F19-$A32)*$C32))</f>
        <v>45000</v>
      </c>
      <c r="G23" s="36">
        <f t="shared" ca="1" si="17"/>
        <v>45000</v>
      </c>
    </row>
    <row r="24" spans="1:11" x14ac:dyDescent="0.25">
      <c r="A24" s="15">
        <f>C33</f>
        <v>0.35</v>
      </c>
      <c r="B24" s="33">
        <f ca="1">IF(B19&lt;$A33,0,(B19-$A33)*$C33)</f>
        <v>0</v>
      </c>
      <c r="C24" s="33">
        <f t="shared" ref="C24:D24" ca="1" si="18">IF(C19&lt;$A33,0,(C19-$A33)*$C33)</f>
        <v>11745.65</v>
      </c>
      <c r="D24" s="33">
        <f t="shared" ca="1" si="18"/>
        <v>43577.45</v>
      </c>
      <c r="E24" s="36">
        <f ca="1">IF(E19&lt;$A33,0,(E19-$A33)*$C33)</f>
        <v>71712.2</v>
      </c>
      <c r="F24" s="36">
        <f t="shared" ref="F24:G24" ca="1" si="19">IF(F19&lt;$A33,0,(F19-$A33)*$C33)</f>
        <v>96880.7</v>
      </c>
      <c r="G24" s="36">
        <f t="shared" ca="1" si="19"/>
        <v>123979.79999999999</v>
      </c>
    </row>
    <row r="25" spans="1:11" ht="15.75" thickBot="1" x14ac:dyDescent="0.3">
      <c r="A25" s="13" t="s">
        <v>71</v>
      </c>
      <c r="B25" s="46">
        <f ca="1">SUM(B22:B24)</f>
        <v>60960.4</v>
      </c>
      <c r="C25" s="46">
        <f t="shared" ref="C25:D25" ca="1" si="20">SUM(C22:C24)</f>
        <v>81745.649999999994</v>
      </c>
      <c r="D25" s="46">
        <f t="shared" ca="1" si="20"/>
        <v>113577.45</v>
      </c>
      <c r="E25" s="58">
        <f t="shared" ref="E25:G25" ca="1" si="21">SUM(E22:E24)</f>
        <v>141712.20000000001</v>
      </c>
      <c r="F25" s="58">
        <f t="shared" ca="1" si="21"/>
        <v>166880.70000000001</v>
      </c>
      <c r="G25" s="58">
        <f t="shared" ca="1" si="21"/>
        <v>193979.8</v>
      </c>
      <c r="K25" s="90"/>
    </row>
    <row r="26" spans="1:11" ht="15.75" thickBot="1" x14ac:dyDescent="0.3">
      <c r="A26" s="41" t="s">
        <v>72</v>
      </c>
      <c r="B26" s="69">
        <f ca="1">D25-G14</f>
        <v>80977.549999999988</v>
      </c>
      <c r="C26" s="70"/>
      <c r="D26" s="71"/>
      <c r="E26" s="72">
        <f ca="1">G25-D25</f>
        <v>80402.349999999991</v>
      </c>
      <c r="F26" s="73"/>
      <c r="G26" s="74"/>
      <c r="K26" s="89"/>
    </row>
    <row r="27" spans="1:11" ht="15.75" thickBot="1" x14ac:dyDescent="0.3"/>
    <row r="28" spans="1:11" ht="15.75" thickBot="1" x14ac:dyDescent="0.3">
      <c r="C28" s="42" t="s">
        <v>73</v>
      </c>
      <c r="D28" s="43" t="s">
        <v>74</v>
      </c>
      <c r="E28" s="44" t="s">
        <v>75</v>
      </c>
      <c r="F28" s="45" t="s">
        <v>76</v>
      </c>
    </row>
    <row r="29" spans="1:11" ht="15.75" thickBot="1" x14ac:dyDescent="0.3"/>
    <row r="30" spans="1:11" ht="45.75" thickBot="1" x14ac:dyDescent="0.3">
      <c r="A30" s="6" t="s">
        <v>16</v>
      </c>
      <c r="B30" s="6" t="s">
        <v>17</v>
      </c>
      <c r="C30" s="6" t="s">
        <v>18</v>
      </c>
      <c r="D30" s="2" t="s">
        <v>88</v>
      </c>
      <c r="E30" s="61" t="s">
        <v>20</v>
      </c>
      <c r="F30" s="61"/>
      <c r="G30" s="2" t="s">
        <v>87</v>
      </c>
      <c r="H30" s="2" t="s">
        <v>90</v>
      </c>
    </row>
    <row r="31" spans="1:11" ht="15" customHeight="1" x14ac:dyDescent="0.25">
      <c r="A31" s="7">
        <v>350000</v>
      </c>
      <c r="B31" s="8">
        <v>450000</v>
      </c>
      <c r="C31" s="91">
        <v>0.25</v>
      </c>
      <c r="D31" s="59">
        <f ca="1">G19</f>
        <v>954228</v>
      </c>
      <c r="E31" s="62" t="str">
        <f ca="1">IF(G19&gt;B31,"("&amp; B31&amp; " - "&amp; A31&amp; ") * "&amp; C31&amp;" = "&amp; G22,"("&amp; G19&amp;" - "&amp; A31&amp; ") * "&amp; C31&amp; " = ")</f>
        <v>(450000 - 350000) * 0.25 = 25000</v>
      </c>
      <c r="F31" s="62"/>
      <c r="G31" s="59">
        <f ca="1">G25</f>
        <v>193979.8</v>
      </c>
      <c r="H31" s="59">
        <f ca="1">E26</f>
        <v>80402.349999999991</v>
      </c>
    </row>
    <row r="32" spans="1:11" x14ac:dyDescent="0.25">
      <c r="A32" s="9">
        <v>450000</v>
      </c>
      <c r="B32" s="4">
        <v>600000</v>
      </c>
      <c r="C32" s="92">
        <v>0.3</v>
      </c>
      <c r="D32" s="59"/>
      <c r="E32" s="62" t="str">
        <f ca="1">IF(G19&gt;B32,"("&amp; B32&amp; " - "&amp; A32&amp; ") * "&amp; C32&amp; " = "&amp; G23,IF(G19&lt;=B31,"","("&amp; B32&amp; " - "&amp; G19&amp; ") * "&amp; C32&amp; " = "&amp; G23))</f>
        <v>(600000 - 450000) * 0.3 = 45000</v>
      </c>
      <c r="F32" s="62"/>
      <c r="G32" s="61"/>
      <c r="H32" s="59"/>
    </row>
    <row r="33" spans="1:8" ht="15.75" thickBot="1" x14ac:dyDescent="0.3">
      <c r="A33" s="10">
        <v>600000</v>
      </c>
      <c r="B33" s="5" t="s">
        <v>19</v>
      </c>
      <c r="C33" s="93">
        <v>0.35</v>
      </c>
      <c r="D33" s="59"/>
      <c r="E33" s="62" t="str">
        <f ca="1">IF(G19&gt;A33,"("&amp; G19&amp; " - "&amp; A33&amp; ") * "&amp; C33&amp; " = "&amp; G24,"")</f>
        <v>(954228 - 600000) * 0.35 = 123979.8</v>
      </c>
      <c r="F33" s="62"/>
      <c r="G33" s="61"/>
      <c r="H33" s="59"/>
    </row>
  </sheetData>
  <mergeCells count="13">
    <mergeCell ref="H31:H33"/>
    <mergeCell ref="A1:A4"/>
    <mergeCell ref="E30:F30"/>
    <mergeCell ref="E31:F31"/>
    <mergeCell ref="D31:D33"/>
    <mergeCell ref="C1:D4"/>
    <mergeCell ref="E32:F32"/>
    <mergeCell ref="E33:F33"/>
    <mergeCell ref="B15:D15"/>
    <mergeCell ref="E15:G15"/>
    <mergeCell ref="B26:D26"/>
    <mergeCell ref="E26:G26"/>
    <mergeCell ref="G31:G33"/>
  </mergeCells>
  <pageMargins left="0.7" right="0.7" top="0.75" bottom="0.75" header="0.3" footer="0.3"/>
  <pageSetup scale="9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F190C-7808-45DD-B221-582DAA04CE0E}">
  <dimension ref="A1:AA41"/>
  <sheetViews>
    <sheetView showGridLines="0" workbookViewId="0">
      <pane ySplit="4" topLeftCell="A13" activePane="bottomLeft" state="frozen"/>
      <selection pane="bottomLeft" activeCell="J40" sqref="J18:J40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380947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53464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1310</v>
      </c>
    </row>
    <row r="4" spans="1:27" ht="12.2" customHeight="1" x14ac:dyDescent="0.25">
      <c r="U4" s="88">
        <v>45390.406544618098</v>
      </c>
      <c r="V4" s="80"/>
      <c r="AA4" s="17">
        <f ca="1">AA2-AA3</f>
        <v>52154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 t="s">
        <v>89</v>
      </c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 t="s">
        <v>89</v>
      </c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45292</v>
      </c>
      <c r="J15" s="80"/>
      <c r="K15" s="80"/>
      <c r="L15" s="84" t="s">
        <v>17</v>
      </c>
      <c r="M15" s="80"/>
      <c r="N15" s="85">
        <v>45322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1097</v>
      </c>
      <c r="L18" s="77"/>
      <c r="M18" s="82">
        <f ca="1">RANDBETWEEN(0,7000)</f>
        <v>5123</v>
      </c>
      <c r="N18" s="76"/>
      <c r="O18" s="77"/>
      <c r="P18" s="82">
        <f ca="1">RANDBETWEEN(0,25000)</f>
        <v>8624</v>
      </c>
      <c r="Q18" s="77"/>
      <c r="R18" s="21">
        <f ca="1">RANDBETWEEN(0,100)</f>
        <v>88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39" ca="1" si="0">RANDBETWEEN(0,32500)</f>
        <v>22669</v>
      </c>
      <c r="L19" s="77"/>
      <c r="M19" s="82">
        <f t="shared" ref="M19:M39" ca="1" si="1">RANDBETWEEN(0,7000)</f>
        <v>1721</v>
      </c>
      <c r="N19" s="76"/>
      <c r="O19" s="77"/>
      <c r="P19" s="82">
        <f t="shared" ref="P19:P39" ca="1" si="2">RANDBETWEEN(0,25000)</f>
        <v>10093</v>
      </c>
      <c r="Q19" s="77"/>
      <c r="R19" s="21">
        <f t="shared" ref="R19:R39" ca="1" si="3">RANDBETWEEN(0,100)</f>
        <v>61</v>
      </c>
    </row>
    <row r="20" spans="1:18" x14ac:dyDescent="0.25">
      <c r="A20" s="81" t="s">
        <v>24</v>
      </c>
      <c r="B20" s="76"/>
      <c r="C20" s="76"/>
      <c r="D20" s="76"/>
      <c r="E20" s="77"/>
      <c r="F20" s="81" t="s">
        <v>23</v>
      </c>
      <c r="G20" s="76"/>
      <c r="H20" s="76"/>
      <c r="I20" s="77"/>
      <c r="J20" s="22"/>
      <c r="K20" s="82">
        <f t="shared" ca="1" si="0"/>
        <v>14264</v>
      </c>
      <c r="L20" s="77"/>
      <c r="M20" s="82">
        <f t="shared" ca="1" si="1"/>
        <v>1155</v>
      </c>
      <c r="N20" s="76"/>
      <c r="O20" s="77"/>
      <c r="P20" s="82">
        <f t="shared" ca="1" si="2"/>
        <v>12788</v>
      </c>
      <c r="Q20" s="77"/>
      <c r="R20" s="21">
        <f t="shared" ca="1" si="3"/>
        <v>90</v>
      </c>
    </row>
    <row r="21" spans="1:18" x14ac:dyDescent="0.25">
      <c r="A21" s="81" t="s">
        <v>42</v>
      </c>
      <c r="B21" s="76"/>
      <c r="C21" s="76"/>
      <c r="D21" s="76"/>
      <c r="E21" s="77"/>
      <c r="F21" s="81" t="s">
        <v>41</v>
      </c>
      <c r="G21" s="76"/>
      <c r="H21" s="76"/>
      <c r="I21" s="77"/>
      <c r="J21" s="22"/>
      <c r="K21" s="82">
        <f t="shared" ca="1" si="0"/>
        <v>8266</v>
      </c>
      <c r="L21" s="77"/>
      <c r="M21" s="82">
        <f t="shared" ca="1" si="1"/>
        <v>4096</v>
      </c>
      <c r="N21" s="76"/>
      <c r="O21" s="77"/>
      <c r="P21" s="82">
        <f t="shared" ca="1" si="2"/>
        <v>1641</v>
      </c>
      <c r="Q21" s="77"/>
      <c r="R21" s="21">
        <f t="shared" ca="1" si="3"/>
        <v>88</v>
      </c>
    </row>
    <row r="22" spans="1:18" x14ac:dyDescent="0.25">
      <c r="A22" s="81" t="s">
        <v>28</v>
      </c>
      <c r="B22" s="76"/>
      <c r="C22" s="76"/>
      <c r="D22" s="76"/>
      <c r="E22" s="77"/>
      <c r="F22" s="81" t="s">
        <v>27</v>
      </c>
      <c r="G22" s="76"/>
      <c r="H22" s="76"/>
      <c r="I22" s="77"/>
      <c r="J22" s="22"/>
      <c r="K22" s="82">
        <f t="shared" ca="1" si="0"/>
        <v>19654</v>
      </c>
      <c r="L22" s="77"/>
      <c r="M22" s="82">
        <f t="shared" ca="1" si="1"/>
        <v>5295</v>
      </c>
      <c r="N22" s="76"/>
      <c r="O22" s="77"/>
      <c r="P22" s="82">
        <f t="shared" ca="1" si="2"/>
        <v>2980</v>
      </c>
      <c r="Q22" s="77"/>
      <c r="R22" s="21">
        <f t="shared" ca="1" si="3"/>
        <v>62</v>
      </c>
    </row>
    <row r="23" spans="1:18" x14ac:dyDescent="0.25">
      <c r="A23" s="81" t="s">
        <v>78</v>
      </c>
      <c r="B23" s="76"/>
      <c r="C23" s="76"/>
      <c r="D23" s="76"/>
      <c r="E23" s="77"/>
      <c r="F23" s="81" t="s">
        <v>77</v>
      </c>
      <c r="G23" s="76"/>
      <c r="H23" s="76"/>
      <c r="I23" s="77"/>
      <c r="J23" s="22"/>
      <c r="K23" s="82">
        <f t="shared" ca="1" si="0"/>
        <v>429</v>
      </c>
      <c r="L23" s="77"/>
      <c r="M23" s="82">
        <f t="shared" ca="1" si="1"/>
        <v>1440</v>
      </c>
      <c r="N23" s="76"/>
      <c r="O23" s="77"/>
      <c r="P23" s="82">
        <f t="shared" ca="1" si="2"/>
        <v>16451</v>
      </c>
      <c r="Q23" s="77"/>
      <c r="R23" s="21">
        <f t="shared" ca="1" si="3"/>
        <v>26</v>
      </c>
    </row>
    <row r="24" spans="1:18" x14ac:dyDescent="0.25">
      <c r="A24" s="81" t="s">
        <v>30</v>
      </c>
      <c r="B24" s="76"/>
      <c r="C24" s="76"/>
      <c r="D24" s="76"/>
      <c r="E24" s="77"/>
      <c r="F24" s="81" t="s">
        <v>29</v>
      </c>
      <c r="G24" s="76"/>
      <c r="H24" s="76"/>
      <c r="I24" s="77"/>
      <c r="J24" s="22"/>
      <c r="K24" s="82">
        <f t="shared" ca="1" si="0"/>
        <v>19376</v>
      </c>
      <c r="L24" s="77"/>
      <c r="M24" s="82">
        <f t="shared" ca="1" si="1"/>
        <v>1570</v>
      </c>
      <c r="N24" s="76"/>
      <c r="O24" s="77"/>
      <c r="P24" s="82">
        <f t="shared" ca="1" si="2"/>
        <v>16025</v>
      </c>
      <c r="Q24" s="77"/>
      <c r="R24" s="21">
        <f t="shared" ca="1" si="3"/>
        <v>16</v>
      </c>
    </row>
    <row r="25" spans="1:18" x14ac:dyDescent="0.25">
      <c r="A25" s="81" t="s">
        <v>34</v>
      </c>
      <c r="B25" s="76"/>
      <c r="C25" s="76"/>
      <c r="D25" s="76"/>
      <c r="E25" s="77"/>
      <c r="F25" s="81" t="s">
        <v>33</v>
      </c>
      <c r="G25" s="76"/>
      <c r="H25" s="76"/>
      <c r="I25" s="77"/>
      <c r="J25" s="22"/>
      <c r="K25" s="82">
        <f t="shared" ca="1" si="0"/>
        <v>13407</v>
      </c>
      <c r="L25" s="77"/>
      <c r="M25" s="82">
        <f t="shared" ca="1" si="1"/>
        <v>3645</v>
      </c>
      <c r="N25" s="76"/>
      <c r="O25" s="77"/>
      <c r="P25" s="82">
        <f t="shared" ca="1" si="2"/>
        <v>23067</v>
      </c>
      <c r="Q25" s="77"/>
      <c r="R25" s="21">
        <f t="shared" ca="1" si="3"/>
        <v>67</v>
      </c>
    </row>
    <row r="26" spans="1:18" x14ac:dyDescent="0.25">
      <c r="A26" s="81" t="s">
        <v>36</v>
      </c>
      <c r="B26" s="76"/>
      <c r="C26" s="76"/>
      <c r="D26" s="76"/>
      <c r="E26" s="77"/>
      <c r="F26" s="81" t="s">
        <v>35</v>
      </c>
      <c r="G26" s="76"/>
      <c r="H26" s="76"/>
      <c r="I26" s="77"/>
      <c r="J26" s="22"/>
      <c r="K26" s="82">
        <f t="shared" ca="1" si="0"/>
        <v>6854</v>
      </c>
      <c r="L26" s="77"/>
      <c r="M26" s="82">
        <f t="shared" ca="1" si="1"/>
        <v>3544</v>
      </c>
      <c r="N26" s="76"/>
      <c r="O26" s="77"/>
      <c r="P26" s="82">
        <f t="shared" ca="1" si="2"/>
        <v>5737</v>
      </c>
      <c r="Q26" s="77"/>
      <c r="R26" s="21">
        <f t="shared" ca="1" si="3"/>
        <v>39</v>
      </c>
    </row>
    <row r="27" spans="1:18" x14ac:dyDescent="0.25">
      <c r="A27" s="81" t="s">
        <v>32</v>
      </c>
      <c r="B27" s="76"/>
      <c r="C27" s="76"/>
      <c r="D27" s="76"/>
      <c r="E27" s="77"/>
      <c r="F27" s="81" t="s">
        <v>31</v>
      </c>
      <c r="G27" s="76"/>
      <c r="H27" s="76"/>
      <c r="I27" s="77"/>
      <c r="J27" s="22"/>
      <c r="K27" s="82">
        <f t="shared" ca="1" si="0"/>
        <v>20643</v>
      </c>
      <c r="L27" s="77"/>
      <c r="M27" s="82">
        <f t="shared" ca="1" si="1"/>
        <v>2255</v>
      </c>
      <c r="N27" s="76"/>
      <c r="O27" s="77"/>
      <c r="P27" s="82">
        <f t="shared" ca="1" si="2"/>
        <v>2586</v>
      </c>
      <c r="Q27" s="77"/>
      <c r="R27" s="21">
        <f t="shared" ca="1" si="3"/>
        <v>81</v>
      </c>
    </row>
    <row r="28" spans="1:18" x14ac:dyDescent="0.25">
      <c r="A28" s="81" t="s">
        <v>44</v>
      </c>
      <c r="B28" s="76"/>
      <c r="C28" s="76"/>
      <c r="D28" s="76"/>
      <c r="E28" s="77"/>
      <c r="F28" s="81" t="s">
        <v>43</v>
      </c>
      <c r="G28" s="76"/>
      <c r="H28" s="76"/>
      <c r="I28" s="77"/>
      <c r="J28" s="22"/>
      <c r="K28" s="82">
        <f t="shared" ca="1" si="0"/>
        <v>9381</v>
      </c>
      <c r="L28" s="77"/>
      <c r="M28" s="82">
        <f t="shared" ca="1" si="1"/>
        <v>122</v>
      </c>
      <c r="N28" s="76"/>
      <c r="O28" s="77"/>
      <c r="P28" s="82">
        <f t="shared" ca="1" si="2"/>
        <v>22642</v>
      </c>
      <c r="Q28" s="77"/>
      <c r="R28" s="21">
        <f t="shared" ca="1" si="3"/>
        <v>32</v>
      </c>
    </row>
    <row r="29" spans="1:18" x14ac:dyDescent="0.25">
      <c r="A29" s="81" t="s">
        <v>26</v>
      </c>
      <c r="B29" s="76"/>
      <c r="C29" s="76"/>
      <c r="D29" s="76"/>
      <c r="E29" s="77"/>
      <c r="F29" s="81" t="s">
        <v>25</v>
      </c>
      <c r="G29" s="76"/>
      <c r="H29" s="76"/>
      <c r="I29" s="77"/>
      <c r="J29" s="22"/>
      <c r="K29" s="82">
        <f t="shared" ca="1" si="0"/>
        <v>23002</v>
      </c>
      <c r="L29" s="77"/>
      <c r="M29" s="82">
        <f t="shared" ca="1" si="1"/>
        <v>810</v>
      </c>
      <c r="N29" s="76"/>
      <c r="O29" s="77"/>
      <c r="P29" s="82">
        <f t="shared" ca="1" si="2"/>
        <v>3824</v>
      </c>
      <c r="Q29" s="77"/>
      <c r="R29" s="21">
        <f t="shared" ca="1" si="3"/>
        <v>43</v>
      </c>
    </row>
    <row r="30" spans="1:18" x14ac:dyDescent="0.25">
      <c r="A30" s="81" t="s">
        <v>42</v>
      </c>
      <c r="B30" s="76"/>
      <c r="C30" s="76"/>
      <c r="D30" s="76"/>
      <c r="E30" s="77"/>
      <c r="F30" s="81" t="s">
        <v>41</v>
      </c>
      <c r="G30" s="76"/>
      <c r="H30" s="76"/>
      <c r="I30" s="77"/>
      <c r="J30" s="22"/>
      <c r="K30" s="82">
        <f t="shared" ca="1" si="0"/>
        <v>27148</v>
      </c>
      <c r="L30" s="77"/>
      <c r="M30" s="82">
        <f t="shared" ca="1" si="1"/>
        <v>4520</v>
      </c>
      <c r="N30" s="76"/>
      <c r="O30" s="77"/>
      <c r="P30" s="82">
        <f t="shared" ca="1" si="2"/>
        <v>3650</v>
      </c>
      <c r="Q30" s="77"/>
      <c r="R30" s="21">
        <f t="shared" ca="1" si="3"/>
        <v>94</v>
      </c>
    </row>
    <row r="31" spans="1:18" x14ac:dyDescent="0.25">
      <c r="A31" s="81" t="s">
        <v>34</v>
      </c>
      <c r="B31" s="76"/>
      <c r="C31" s="76"/>
      <c r="D31" s="76"/>
      <c r="E31" s="77"/>
      <c r="F31" s="81" t="s">
        <v>33</v>
      </c>
      <c r="G31" s="76"/>
      <c r="H31" s="76"/>
      <c r="I31" s="77"/>
      <c r="J31" s="22"/>
      <c r="K31" s="82">
        <f t="shared" ca="1" si="0"/>
        <v>19990</v>
      </c>
      <c r="L31" s="77"/>
      <c r="M31" s="82">
        <f t="shared" ca="1" si="1"/>
        <v>1245</v>
      </c>
      <c r="N31" s="76"/>
      <c r="O31" s="77"/>
      <c r="P31" s="82">
        <f t="shared" ca="1" si="2"/>
        <v>16149</v>
      </c>
      <c r="Q31" s="77"/>
      <c r="R31" s="21">
        <f t="shared" ca="1" si="3"/>
        <v>36</v>
      </c>
    </row>
    <row r="32" spans="1:18" x14ac:dyDescent="0.25">
      <c r="A32" s="81" t="s">
        <v>26</v>
      </c>
      <c r="B32" s="76"/>
      <c r="C32" s="76"/>
      <c r="D32" s="76"/>
      <c r="E32" s="77"/>
      <c r="F32" s="81" t="s">
        <v>25</v>
      </c>
      <c r="G32" s="76"/>
      <c r="H32" s="76"/>
      <c r="I32" s="77"/>
      <c r="J32" s="22"/>
      <c r="K32" s="82">
        <f t="shared" ca="1" si="0"/>
        <v>29909</v>
      </c>
      <c r="L32" s="77"/>
      <c r="M32" s="82">
        <f t="shared" ca="1" si="1"/>
        <v>3972</v>
      </c>
      <c r="N32" s="76"/>
      <c r="O32" s="77"/>
      <c r="P32" s="82">
        <f t="shared" ca="1" si="2"/>
        <v>15726</v>
      </c>
      <c r="Q32" s="77"/>
      <c r="R32" s="21">
        <f t="shared" ca="1" si="3"/>
        <v>46</v>
      </c>
    </row>
    <row r="33" spans="1:26" x14ac:dyDescent="0.25">
      <c r="A33" s="81" t="s">
        <v>38</v>
      </c>
      <c r="B33" s="76"/>
      <c r="C33" s="76"/>
      <c r="D33" s="76"/>
      <c r="E33" s="77"/>
      <c r="F33" s="81" t="s">
        <v>37</v>
      </c>
      <c r="G33" s="76"/>
      <c r="H33" s="76"/>
      <c r="I33" s="77"/>
      <c r="J33" s="22"/>
      <c r="K33" s="82">
        <f t="shared" ca="1" si="0"/>
        <v>26598</v>
      </c>
      <c r="L33" s="77"/>
      <c r="M33" s="82">
        <f t="shared" ca="1" si="1"/>
        <v>524</v>
      </c>
      <c r="N33" s="76"/>
      <c r="O33" s="77"/>
      <c r="P33" s="82">
        <f t="shared" ca="1" si="2"/>
        <v>11277</v>
      </c>
      <c r="Q33" s="77"/>
      <c r="R33" s="21">
        <f t="shared" ca="1" si="3"/>
        <v>51</v>
      </c>
    </row>
    <row r="34" spans="1:26" x14ac:dyDescent="0.25">
      <c r="A34" s="81" t="s">
        <v>24</v>
      </c>
      <c r="B34" s="76"/>
      <c r="C34" s="76"/>
      <c r="D34" s="76"/>
      <c r="E34" s="77"/>
      <c r="F34" s="81" t="s">
        <v>23</v>
      </c>
      <c r="G34" s="76"/>
      <c r="H34" s="76"/>
      <c r="I34" s="77"/>
      <c r="J34" s="22"/>
      <c r="K34" s="82">
        <f t="shared" ca="1" si="0"/>
        <v>27934</v>
      </c>
      <c r="L34" s="77"/>
      <c r="M34" s="82">
        <f t="shared" ca="1" si="1"/>
        <v>383</v>
      </c>
      <c r="N34" s="76"/>
      <c r="O34" s="77"/>
      <c r="P34" s="82">
        <f t="shared" ca="1" si="2"/>
        <v>24862</v>
      </c>
      <c r="Q34" s="77"/>
      <c r="R34" s="21">
        <f t="shared" ca="1" si="3"/>
        <v>66</v>
      </c>
    </row>
    <row r="35" spans="1:26" x14ac:dyDescent="0.25">
      <c r="A35" s="81" t="s">
        <v>40</v>
      </c>
      <c r="B35" s="76"/>
      <c r="C35" s="76"/>
      <c r="D35" s="76"/>
      <c r="E35" s="77"/>
      <c r="F35" s="81" t="s">
        <v>39</v>
      </c>
      <c r="G35" s="76"/>
      <c r="H35" s="76"/>
      <c r="I35" s="77"/>
      <c r="J35" s="22"/>
      <c r="K35" s="82">
        <f t="shared" ca="1" si="0"/>
        <v>20147</v>
      </c>
      <c r="L35" s="77"/>
      <c r="M35" s="82">
        <f t="shared" ca="1" si="1"/>
        <v>3938</v>
      </c>
      <c r="N35" s="76"/>
      <c r="O35" s="77"/>
      <c r="P35" s="82">
        <f t="shared" ca="1" si="2"/>
        <v>23119</v>
      </c>
      <c r="Q35" s="77"/>
      <c r="R35" s="21">
        <f t="shared" ca="1" si="3"/>
        <v>96</v>
      </c>
    </row>
    <row r="36" spans="1:26" x14ac:dyDescent="0.25">
      <c r="A36" s="81" t="s">
        <v>70</v>
      </c>
      <c r="B36" s="76"/>
      <c r="C36" s="76"/>
      <c r="D36" s="76"/>
      <c r="E36" s="77"/>
      <c r="F36" s="81" t="s">
        <v>69</v>
      </c>
      <c r="G36" s="76"/>
      <c r="H36" s="76"/>
      <c r="I36" s="77"/>
      <c r="J36" s="22"/>
      <c r="K36" s="82">
        <f t="shared" ca="1" si="0"/>
        <v>26974</v>
      </c>
      <c r="L36" s="77"/>
      <c r="M36" s="82">
        <f t="shared" ca="1" si="1"/>
        <v>852</v>
      </c>
      <c r="N36" s="76"/>
      <c r="O36" s="77"/>
      <c r="P36" s="82">
        <f t="shared" ca="1" si="2"/>
        <v>2868</v>
      </c>
      <c r="Q36" s="77"/>
      <c r="R36" s="21">
        <f t="shared" ca="1" si="3"/>
        <v>38</v>
      </c>
    </row>
    <row r="37" spans="1:26" x14ac:dyDescent="0.25">
      <c r="A37" s="81" t="s">
        <v>30</v>
      </c>
      <c r="B37" s="76"/>
      <c r="C37" s="76"/>
      <c r="D37" s="76"/>
      <c r="E37" s="77"/>
      <c r="F37" s="81" t="s">
        <v>29</v>
      </c>
      <c r="G37" s="76"/>
      <c r="H37" s="76"/>
      <c r="I37" s="77"/>
      <c r="J37" s="22"/>
      <c r="K37" s="82">
        <f t="shared" ca="1" si="0"/>
        <v>27660</v>
      </c>
      <c r="L37" s="77"/>
      <c r="M37" s="82">
        <f t="shared" ca="1" si="1"/>
        <v>1047</v>
      </c>
      <c r="N37" s="76"/>
      <c r="O37" s="77"/>
      <c r="P37" s="82">
        <f t="shared" ca="1" si="2"/>
        <v>11713</v>
      </c>
      <c r="Q37" s="77"/>
      <c r="R37" s="21">
        <f t="shared" ca="1" si="3"/>
        <v>82</v>
      </c>
    </row>
    <row r="38" spans="1:26" x14ac:dyDescent="0.25">
      <c r="A38" s="81" t="s">
        <v>70</v>
      </c>
      <c r="B38" s="76"/>
      <c r="C38" s="76"/>
      <c r="D38" s="76"/>
      <c r="E38" s="77"/>
      <c r="F38" s="81" t="s">
        <v>69</v>
      </c>
      <c r="G38" s="76"/>
      <c r="H38" s="76"/>
      <c r="I38" s="77"/>
      <c r="J38" s="22"/>
      <c r="K38" s="82">
        <f t="shared" ca="1" si="0"/>
        <v>3851</v>
      </c>
      <c r="L38" s="77"/>
      <c r="M38" s="82">
        <f t="shared" ca="1" si="1"/>
        <v>566</v>
      </c>
      <c r="N38" s="76"/>
      <c r="O38" s="77"/>
      <c r="P38" s="82">
        <f t="shared" ca="1" si="2"/>
        <v>13482</v>
      </c>
      <c r="Q38" s="77"/>
      <c r="R38" s="21">
        <f t="shared" ca="1" si="3"/>
        <v>20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11694</v>
      </c>
      <c r="L39" s="77"/>
      <c r="M39" s="82">
        <f t="shared" ca="1" si="1"/>
        <v>5641</v>
      </c>
      <c r="N39" s="76"/>
      <c r="O39" s="77"/>
      <c r="P39" s="82">
        <f t="shared" ca="1" si="2"/>
        <v>8685</v>
      </c>
      <c r="Q39" s="77"/>
      <c r="R39" s="21">
        <f t="shared" ca="1" si="3"/>
        <v>88</v>
      </c>
    </row>
    <row r="40" spans="1:26" x14ac:dyDescent="0.25">
      <c r="A40" s="75" t="s">
        <v>22</v>
      </c>
      <c r="B40" s="76"/>
      <c r="C40" s="76"/>
      <c r="D40" s="76"/>
      <c r="E40" s="76"/>
      <c r="F40" s="76"/>
      <c r="G40" s="76"/>
      <c r="H40" s="76"/>
      <c r="I40" s="77"/>
      <c r="J40" s="20"/>
      <c r="K40" s="78">
        <f ca="1">SUM(K18:L39)</f>
        <v>380947</v>
      </c>
      <c r="L40" s="77"/>
      <c r="M40" s="78">
        <f ca="1">SUM(M18:O39)</f>
        <v>53464</v>
      </c>
      <c r="N40" s="76"/>
      <c r="O40" s="77"/>
      <c r="P40" s="78">
        <f ca="1">SUM(P18:Q39)</f>
        <v>257989</v>
      </c>
      <c r="Q40" s="77"/>
      <c r="R40" s="19">
        <f ca="1">SUM(R18:R39)</f>
        <v>1310</v>
      </c>
    </row>
    <row r="41" spans="1:26" ht="27" customHeight="1" x14ac:dyDescent="0.25">
      <c r="A41" s="79" t="s">
        <v>21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</sheetData>
  <mergeCells count="146">
    <mergeCell ref="A1:N3"/>
    <mergeCell ref="U4:V4"/>
    <mergeCell ref="A5:H5"/>
    <mergeCell ref="I5:W5"/>
    <mergeCell ref="A6:H6"/>
    <mergeCell ref="I6:W6"/>
    <mergeCell ref="A7:H7"/>
    <mergeCell ref="I7:W7"/>
    <mergeCell ref="G8:H8"/>
    <mergeCell ref="I8:W8"/>
    <mergeCell ref="C9:H9"/>
    <mergeCell ref="I9:W9"/>
    <mergeCell ref="C10:H10"/>
    <mergeCell ref="I10:W10"/>
    <mergeCell ref="B11:H11"/>
    <mergeCell ref="I11:W11"/>
    <mergeCell ref="E12:H12"/>
    <mergeCell ref="I12:Y12"/>
    <mergeCell ref="G13:H13"/>
    <mergeCell ref="I13:W13"/>
    <mergeCell ref="D14:G14"/>
    <mergeCell ref="H14:X14"/>
    <mergeCell ref="A15:H15"/>
    <mergeCell ref="I15:K15"/>
    <mergeCell ref="L15:M15"/>
    <mergeCell ref="N15:P15"/>
    <mergeCell ref="A18:E18"/>
    <mergeCell ref="F18:I18"/>
    <mergeCell ref="K18:L18"/>
    <mergeCell ref="M18:O18"/>
    <mergeCell ref="P18:Q18"/>
    <mergeCell ref="A17:E17"/>
    <mergeCell ref="F17:I17"/>
    <mergeCell ref="K17:L17"/>
    <mergeCell ref="M17:O17"/>
    <mergeCell ref="P17:Q17"/>
    <mergeCell ref="A20:E20"/>
    <mergeCell ref="F20:I20"/>
    <mergeCell ref="K20:L20"/>
    <mergeCell ref="M20:O20"/>
    <mergeCell ref="P20:Q20"/>
    <mergeCell ref="A19:E19"/>
    <mergeCell ref="F19:I19"/>
    <mergeCell ref="K19:L19"/>
    <mergeCell ref="M19:O19"/>
    <mergeCell ref="P19:Q19"/>
    <mergeCell ref="A22:E22"/>
    <mergeCell ref="F22:I22"/>
    <mergeCell ref="K22:L22"/>
    <mergeCell ref="M22:O22"/>
    <mergeCell ref="P22:Q22"/>
    <mergeCell ref="A21:E21"/>
    <mergeCell ref="F21:I21"/>
    <mergeCell ref="K21:L21"/>
    <mergeCell ref="M21:O21"/>
    <mergeCell ref="P21:Q21"/>
    <mergeCell ref="A24:E24"/>
    <mergeCell ref="F24:I24"/>
    <mergeCell ref="K24:L24"/>
    <mergeCell ref="M24:O24"/>
    <mergeCell ref="P24:Q24"/>
    <mergeCell ref="A23:E23"/>
    <mergeCell ref="F23:I23"/>
    <mergeCell ref="K23:L23"/>
    <mergeCell ref="M23:O23"/>
    <mergeCell ref="P23:Q23"/>
    <mergeCell ref="A26:E26"/>
    <mergeCell ref="F26:I26"/>
    <mergeCell ref="K26:L26"/>
    <mergeCell ref="M26:O26"/>
    <mergeCell ref="P26:Q26"/>
    <mergeCell ref="A25:E25"/>
    <mergeCell ref="F25:I25"/>
    <mergeCell ref="K25:L25"/>
    <mergeCell ref="M25:O25"/>
    <mergeCell ref="P25:Q25"/>
    <mergeCell ref="A28:E28"/>
    <mergeCell ref="F28:I28"/>
    <mergeCell ref="K28:L28"/>
    <mergeCell ref="M28:O28"/>
    <mergeCell ref="P28:Q28"/>
    <mergeCell ref="A27:E27"/>
    <mergeCell ref="F27:I27"/>
    <mergeCell ref="K27:L27"/>
    <mergeCell ref="M27:O27"/>
    <mergeCell ref="P27:Q27"/>
    <mergeCell ref="A30:E30"/>
    <mergeCell ref="F30:I30"/>
    <mergeCell ref="K30:L30"/>
    <mergeCell ref="M30:O30"/>
    <mergeCell ref="P30:Q30"/>
    <mergeCell ref="A29:E29"/>
    <mergeCell ref="F29:I29"/>
    <mergeCell ref="K29:L29"/>
    <mergeCell ref="M29:O29"/>
    <mergeCell ref="P29:Q29"/>
    <mergeCell ref="A32:E32"/>
    <mergeCell ref="F32:I32"/>
    <mergeCell ref="K32:L32"/>
    <mergeCell ref="M32:O32"/>
    <mergeCell ref="P32:Q32"/>
    <mergeCell ref="A31:E31"/>
    <mergeCell ref="F31:I31"/>
    <mergeCell ref="K31:L31"/>
    <mergeCell ref="M31:O31"/>
    <mergeCell ref="P31:Q31"/>
    <mergeCell ref="A34:E34"/>
    <mergeCell ref="F34:I34"/>
    <mergeCell ref="K34:L34"/>
    <mergeCell ref="M34:O34"/>
    <mergeCell ref="P34:Q34"/>
    <mergeCell ref="A33:E33"/>
    <mergeCell ref="F33:I33"/>
    <mergeCell ref="K33:L33"/>
    <mergeCell ref="M33:O33"/>
    <mergeCell ref="P33:Q33"/>
    <mergeCell ref="A36:E36"/>
    <mergeCell ref="F36:I36"/>
    <mergeCell ref="K36:L36"/>
    <mergeCell ref="M36:O36"/>
    <mergeCell ref="P36:Q36"/>
    <mergeCell ref="A35:E35"/>
    <mergeCell ref="F35:I35"/>
    <mergeCell ref="K35:L35"/>
    <mergeCell ref="M35:O35"/>
    <mergeCell ref="P35:Q35"/>
    <mergeCell ref="A38:E38"/>
    <mergeCell ref="F38:I38"/>
    <mergeCell ref="K38:L38"/>
    <mergeCell ref="M38:O38"/>
    <mergeCell ref="P38:Q38"/>
    <mergeCell ref="A37:E37"/>
    <mergeCell ref="F37:I37"/>
    <mergeCell ref="K37:L37"/>
    <mergeCell ref="M37:O37"/>
    <mergeCell ref="P37:Q37"/>
    <mergeCell ref="A40:I40"/>
    <mergeCell ref="K40:L40"/>
    <mergeCell ref="M40:O40"/>
    <mergeCell ref="P40:Q40"/>
    <mergeCell ref="A41:Z41"/>
    <mergeCell ref="A39:E39"/>
    <mergeCell ref="F39:I39"/>
    <mergeCell ref="K39:L39"/>
    <mergeCell ref="M39:O39"/>
    <mergeCell ref="P39:Q39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C39B-CCA8-4D82-BD2B-51994B6E97FC}">
  <dimension ref="A1:AA46"/>
  <sheetViews>
    <sheetView showGridLines="0" workbookViewId="0">
      <pane ySplit="4" topLeftCell="A5" activePane="bottomLeft" state="frozen"/>
      <selection pane="bottomLeft" activeCell="AC15" sqref="AC15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461379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97084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1418</v>
      </c>
    </row>
    <row r="4" spans="1:27" ht="12.2" customHeight="1" x14ac:dyDescent="0.25">
      <c r="U4" s="88">
        <v>45390.407183553201</v>
      </c>
      <c r="V4" s="80"/>
      <c r="AA4" s="17">
        <f ca="1">AA2-AA3</f>
        <v>95666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45323</v>
      </c>
      <c r="J15" s="80"/>
      <c r="K15" s="80"/>
      <c r="L15" s="84" t="s">
        <v>17</v>
      </c>
      <c r="M15" s="80"/>
      <c r="N15" s="85">
        <v>45351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44</v>
      </c>
      <c r="B18" s="76"/>
      <c r="C18" s="76"/>
      <c r="D18" s="76"/>
      <c r="E18" s="77"/>
      <c r="F18" s="81" t="s">
        <v>43</v>
      </c>
      <c r="G18" s="76"/>
      <c r="H18" s="76"/>
      <c r="I18" s="77"/>
      <c r="J18" s="22"/>
      <c r="K18" s="82">
        <f ca="1">RANDBETWEEN(0,32500)</f>
        <v>9787</v>
      </c>
      <c r="L18" s="77"/>
      <c r="M18" s="82">
        <f ca="1">RANDBETWEEN(0,7000)</f>
        <v>4018</v>
      </c>
      <c r="N18" s="76"/>
      <c r="O18" s="77"/>
      <c r="P18" s="82">
        <f ca="1">RANDBETWEEN(0,25000)</f>
        <v>21859</v>
      </c>
      <c r="Q18" s="77"/>
      <c r="R18" s="21">
        <f ca="1">RANDBETWEEN(0,100)</f>
        <v>11</v>
      </c>
    </row>
    <row r="19" spans="1:18" x14ac:dyDescent="0.25">
      <c r="A19" s="81" t="s">
        <v>26</v>
      </c>
      <c r="B19" s="76"/>
      <c r="C19" s="76"/>
      <c r="D19" s="76"/>
      <c r="E19" s="77"/>
      <c r="F19" s="81" t="s">
        <v>25</v>
      </c>
      <c r="G19" s="76"/>
      <c r="H19" s="76"/>
      <c r="I19" s="77"/>
      <c r="J19" s="22"/>
      <c r="K19" s="82">
        <f t="shared" ref="K19:K44" ca="1" si="0">RANDBETWEEN(0,32500)</f>
        <v>19285</v>
      </c>
      <c r="L19" s="77"/>
      <c r="M19" s="82">
        <f t="shared" ref="M19:M44" ca="1" si="1">RANDBETWEEN(0,7000)</f>
        <v>1458</v>
      </c>
      <c r="N19" s="76"/>
      <c r="O19" s="77"/>
      <c r="P19" s="82">
        <f t="shared" ref="P19:P44" ca="1" si="2">RANDBETWEEN(0,25000)</f>
        <v>11197</v>
      </c>
      <c r="Q19" s="77"/>
      <c r="R19" s="21">
        <f t="shared" ref="R19:R44" ca="1" si="3">RANDBETWEEN(0,100)</f>
        <v>61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28919</v>
      </c>
      <c r="L20" s="77"/>
      <c r="M20" s="82">
        <f t="shared" ca="1" si="1"/>
        <v>4691</v>
      </c>
      <c r="N20" s="76"/>
      <c r="O20" s="77"/>
      <c r="P20" s="82">
        <f t="shared" ca="1" si="2"/>
        <v>24335</v>
      </c>
      <c r="Q20" s="77"/>
      <c r="R20" s="21">
        <f t="shared" ca="1" si="3"/>
        <v>75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21522</v>
      </c>
      <c r="L21" s="77"/>
      <c r="M21" s="82">
        <f t="shared" ca="1" si="1"/>
        <v>6231</v>
      </c>
      <c r="N21" s="76"/>
      <c r="O21" s="77"/>
      <c r="P21" s="82">
        <f t="shared" ca="1" si="2"/>
        <v>17176</v>
      </c>
      <c r="Q21" s="77"/>
      <c r="R21" s="21">
        <f t="shared" ca="1" si="3"/>
        <v>93</v>
      </c>
    </row>
    <row r="22" spans="1:18" x14ac:dyDescent="0.25">
      <c r="A22" s="81" t="s">
        <v>28</v>
      </c>
      <c r="B22" s="76"/>
      <c r="C22" s="76"/>
      <c r="D22" s="76"/>
      <c r="E22" s="77"/>
      <c r="F22" s="81" t="s">
        <v>27</v>
      </c>
      <c r="G22" s="76"/>
      <c r="H22" s="76"/>
      <c r="I22" s="77"/>
      <c r="J22" s="22"/>
      <c r="K22" s="82">
        <f t="shared" ca="1" si="0"/>
        <v>436</v>
      </c>
      <c r="L22" s="77"/>
      <c r="M22" s="82">
        <f t="shared" ca="1" si="1"/>
        <v>2757</v>
      </c>
      <c r="N22" s="76"/>
      <c r="O22" s="77"/>
      <c r="P22" s="82">
        <f t="shared" ca="1" si="2"/>
        <v>9094</v>
      </c>
      <c r="Q22" s="77"/>
      <c r="R22" s="21">
        <f t="shared" ca="1" si="3"/>
        <v>50</v>
      </c>
    </row>
    <row r="23" spans="1:18" x14ac:dyDescent="0.25">
      <c r="A23" s="81" t="s">
        <v>30</v>
      </c>
      <c r="B23" s="76"/>
      <c r="C23" s="76"/>
      <c r="D23" s="76"/>
      <c r="E23" s="77"/>
      <c r="F23" s="81" t="s">
        <v>29</v>
      </c>
      <c r="G23" s="76"/>
      <c r="H23" s="76"/>
      <c r="I23" s="77"/>
      <c r="J23" s="22"/>
      <c r="K23" s="82">
        <f t="shared" ca="1" si="0"/>
        <v>11388</v>
      </c>
      <c r="L23" s="77"/>
      <c r="M23" s="82">
        <f t="shared" ca="1" si="1"/>
        <v>6037</v>
      </c>
      <c r="N23" s="76"/>
      <c r="O23" s="77"/>
      <c r="P23" s="82">
        <f t="shared" ca="1" si="2"/>
        <v>8845</v>
      </c>
      <c r="Q23" s="77"/>
      <c r="R23" s="21">
        <f t="shared" ca="1" si="3"/>
        <v>58</v>
      </c>
    </row>
    <row r="24" spans="1:18" x14ac:dyDescent="0.25">
      <c r="A24" s="81" t="s">
        <v>26</v>
      </c>
      <c r="B24" s="76"/>
      <c r="C24" s="76"/>
      <c r="D24" s="76"/>
      <c r="E24" s="77"/>
      <c r="F24" s="81" t="s">
        <v>25</v>
      </c>
      <c r="G24" s="76"/>
      <c r="H24" s="76"/>
      <c r="I24" s="77"/>
      <c r="J24" s="22"/>
      <c r="K24" s="82">
        <f t="shared" ca="1" si="0"/>
        <v>29791</v>
      </c>
      <c r="L24" s="77"/>
      <c r="M24" s="82">
        <f t="shared" ca="1" si="1"/>
        <v>1392</v>
      </c>
      <c r="N24" s="76"/>
      <c r="O24" s="77"/>
      <c r="P24" s="82">
        <f t="shared" ca="1" si="2"/>
        <v>18642</v>
      </c>
      <c r="Q24" s="77"/>
      <c r="R24" s="21">
        <f t="shared" ca="1" si="3"/>
        <v>84</v>
      </c>
    </row>
    <row r="25" spans="1:18" x14ac:dyDescent="0.25">
      <c r="A25" s="81" t="s">
        <v>86</v>
      </c>
      <c r="B25" s="76"/>
      <c r="C25" s="76"/>
      <c r="D25" s="76"/>
      <c r="E25" s="77"/>
      <c r="F25" s="81" t="s">
        <v>85</v>
      </c>
      <c r="G25" s="76"/>
      <c r="H25" s="76"/>
      <c r="I25" s="77"/>
      <c r="J25" s="22"/>
      <c r="K25" s="82">
        <f t="shared" ca="1" si="0"/>
        <v>28603</v>
      </c>
      <c r="L25" s="77"/>
      <c r="M25" s="82">
        <f t="shared" ca="1" si="1"/>
        <v>6775</v>
      </c>
      <c r="N25" s="76"/>
      <c r="O25" s="77"/>
      <c r="P25" s="82">
        <f t="shared" ca="1" si="2"/>
        <v>5456</v>
      </c>
      <c r="Q25" s="77"/>
      <c r="R25" s="21">
        <f t="shared" ca="1" si="3"/>
        <v>54</v>
      </c>
    </row>
    <row r="26" spans="1:18" x14ac:dyDescent="0.25">
      <c r="A26" s="81" t="s">
        <v>40</v>
      </c>
      <c r="B26" s="76"/>
      <c r="C26" s="76"/>
      <c r="D26" s="76"/>
      <c r="E26" s="77"/>
      <c r="F26" s="81" t="s">
        <v>39</v>
      </c>
      <c r="G26" s="76"/>
      <c r="H26" s="76"/>
      <c r="I26" s="77"/>
      <c r="J26" s="22"/>
      <c r="K26" s="82">
        <f t="shared" ca="1" si="0"/>
        <v>27523</v>
      </c>
      <c r="L26" s="77"/>
      <c r="M26" s="82">
        <f t="shared" ca="1" si="1"/>
        <v>5505</v>
      </c>
      <c r="N26" s="76"/>
      <c r="O26" s="77"/>
      <c r="P26" s="82">
        <f t="shared" ca="1" si="2"/>
        <v>201</v>
      </c>
      <c r="Q26" s="77"/>
      <c r="R26" s="21">
        <f t="shared" ca="1" si="3"/>
        <v>56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8336</v>
      </c>
      <c r="L27" s="77"/>
      <c r="M27" s="82">
        <f t="shared" ca="1" si="1"/>
        <v>6285</v>
      </c>
      <c r="N27" s="76"/>
      <c r="O27" s="77"/>
      <c r="P27" s="82">
        <f t="shared" ca="1" si="2"/>
        <v>9408</v>
      </c>
      <c r="Q27" s="77"/>
      <c r="R27" s="21">
        <f t="shared" ca="1" si="3"/>
        <v>91</v>
      </c>
    </row>
    <row r="28" spans="1:18" x14ac:dyDescent="0.25">
      <c r="A28" s="81" t="s">
        <v>84</v>
      </c>
      <c r="B28" s="76"/>
      <c r="C28" s="76"/>
      <c r="D28" s="76"/>
      <c r="E28" s="77"/>
      <c r="F28" s="81" t="s">
        <v>83</v>
      </c>
      <c r="G28" s="76"/>
      <c r="H28" s="76"/>
      <c r="I28" s="77"/>
      <c r="J28" s="22"/>
      <c r="K28" s="82">
        <f t="shared" ca="1" si="0"/>
        <v>17388</v>
      </c>
      <c r="L28" s="77"/>
      <c r="M28" s="82">
        <f t="shared" ca="1" si="1"/>
        <v>1949</v>
      </c>
      <c r="N28" s="76"/>
      <c r="O28" s="77"/>
      <c r="P28" s="82">
        <f t="shared" ca="1" si="2"/>
        <v>18323</v>
      </c>
      <c r="Q28" s="77"/>
      <c r="R28" s="21">
        <f t="shared" ca="1" si="3"/>
        <v>76</v>
      </c>
    </row>
    <row r="29" spans="1:18" x14ac:dyDescent="0.25">
      <c r="A29" s="81" t="s">
        <v>82</v>
      </c>
      <c r="B29" s="76"/>
      <c r="C29" s="76"/>
      <c r="D29" s="76"/>
      <c r="E29" s="77"/>
      <c r="F29" s="81" t="s">
        <v>81</v>
      </c>
      <c r="G29" s="76"/>
      <c r="H29" s="76"/>
      <c r="I29" s="77"/>
      <c r="J29" s="22"/>
      <c r="K29" s="82">
        <f t="shared" ca="1" si="0"/>
        <v>24049</v>
      </c>
      <c r="L29" s="77"/>
      <c r="M29" s="82">
        <f t="shared" ca="1" si="1"/>
        <v>3201</v>
      </c>
      <c r="N29" s="76"/>
      <c r="O29" s="77"/>
      <c r="P29" s="82">
        <f t="shared" ca="1" si="2"/>
        <v>20091</v>
      </c>
      <c r="Q29" s="77"/>
      <c r="R29" s="21">
        <f t="shared" ca="1" si="3"/>
        <v>18</v>
      </c>
    </row>
    <row r="30" spans="1:18" x14ac:dyDescent="0.25">
      <c r="A30" s="81" t="s">
        <v>80</v>
      </c>
      <c r="B30" s="76"/>
      <c r="C30" s="76"/>
      <c r="D30" s="76"/>
      <c r="E30" s="77"/>
      <c r="F30" s="81" t="s">
        <v>79</v>
      </c>
      <c r="G30" s="76"/>
      <c r="H30" s="76"/>
      <c r="I30" s="77"/>
      <c r="J30" s="22"/>
      <c r="K30" s="82">
        <f t="shared" ca="1" si="0"/>
        <v>23591</v>
      </c>
      <c r="L30" s="77"/>
      <c r="M30" s="82">
        <f t="shared" ca="1" si="1"/>
        <v>2541</v>
      </c>
      <c r="N30" s="76"/>
      <c r="O30" s="77"/>
      <c r="P30" s="82">
        <f t="shared" ca="1" si="2"/>
        <v>11710</v>
      </c>
      <c r="Q30" s="77"/>
      <c r="R30" s="21">
        <f t="shared" ca="1" si="3"/>
        <v>16</v>
      </c>
    </row>
    <row r="31" spans="1:18" x14ac:dyDescent="0.25">
      <c r="A31" s="81" t="s">
        <v>24</v>
      </c>
      <c r="B31" s="76"/>
      <c r="C31" s="76"/>
      <c r="D31" s="76"/>
      <c r="E31" s="77"/>
      <c r="F31" s="81" t="s">
        <v>23</v>
      </c>
      <c r="G31" s="76"/>
      <c r="H31" s="76"/>
      <c r="I31" s="77"/>
      <c r="J31" s="22"/>
      <c r="K31" s="82">
        <f t="shared" ca="1" si="0"/>
        <v>22219</v>
      </c>
      <c r="L31" s="77"/>
      <c r="M31" s="82">
        <f t="shared" ca="1" si="1"/>
        <v>1129</v>
      </c>
      <c r="N31" s="76"/>
      <c r="O31" s="77"/>
      <c r="P31" s="82">
        <f t="shared" ca="1" si="2"/>
        <v>24298</v>
      </c>
      <c r="Q31" s="77"/>
      <c r="R31" s="21">
        <f t="shared" ca="1" si="3"/>
        <v>14</v>
      </c>
    </row>
    <row r="32" spans="1:18" x14ac:dyDescent="0.25">
      <c r="A32" s="81" t="s">
        <v>44</v>
      </c>
      <c r="B32" s="76"/>
      <c r="C32" s="76"/>
      <c r="D32" s="76"/>
      <c r="E32" s="77"/>
      <c r="F32" s="81" t="s">
        <v>43</v>
      </c>
      <c r="G32" s="76"/>
      <c r="H32" s="76"/>
      <c r="I32" s="77"/>
      <c r="J32" s="22"/>
      <c r="K32" s="82">
        <f t="shared" ca="1" si="0"/>
        <v>4316</v>
      </c>
      <c r="L32" s="77"/>
      <c r="M32" s="82">
        <f t="shared" ca="1" si="1"/>
        <v>2218</v>
      </c>
      <c r="N32" s="76"/>
      <c r="O32" s="77"/>
      <c r="P32" s="82">
        <f t="shared" ca="1" si="2"/>
        <v>21351</v>
      </c>
      <c r="Q32" s="77"/>
      <c r="R32" s="21">
        <f t="shared" ca="1" si="3"/>
        <v>75</v>
      </c>
    </row>
    <row r="33" spans="1:26" x14ac:dyDescent="0.25">
      <c r="A33" s="81" t="s">
        <v>26</v>
      </c>
      <c r="B33" s="76"/>
      <c r="C33" s="76"/>
      <c r="D33" s="76"/>
      <c r="E33" s="77"/>
      <c r="F33" s="81" t="s">
        <v>25</v>
      </c>
      <c r="G33" s="76"/>
      <c r="H33" s="76"/>
      <c r="I33" s="77"/>
      <c r="J33" s="22"/>
      <c r="K33" s="82">
        <f t="shared" ca="1" si="0"/>
        <v>24090</v>
      </c>
      <c r="L33" s="77"/>
      <c r="M33" s="82">
        <f t="shared" ca="1" si="1"/>
        <v>3103</v>
      </c>
      <c r="N33" s="76"/>
      <c r="O33" s="77"/>
      <c r="P33" s="82">
        <f t="shared" ca="1" si="2"/>
        <v>19729</v>
      </c>
      <c r="Q33" s="77"/>
      <c r="R33" s="21">
        <f t="shared" ca="1" si="3"/>
        <v>20</v>
      </c>
    </row>
    <row r="34" spans="1:26" x14ac:dyDescent="0.25">
      <c r="A34" s="81" t="s">
        <v>42</v>
      </c>
      <c r="B34" s="76"/>
      <c r="C34" s="76"/>
      <c r="D34" s="76"/>
      <c r="E34" s="77"/>
      <c r="F34" s="81" t="s">
        <v>41</v>
      </c>
      <c r="G34" s="76"/>
      <c r="H34" s="76"/>
      <c r="I34" s="77"/>
      <c r="J34" s="22"/>
      <c r="K34" s="82">
        <f t="shared" ca="1" si="0"/>
        <v>10224</v>
      </c>
      <c r="L34" s="77"/>
      <c r="M34" s="82">
        <f t="shared" ca="1" si="1"/>
        <v>750</v>
      </c>
      <c r="N34" s="76"/>
      <c r="O34" s="77"/>
      <c r="P34" s="82">
        <f t="shared" ca="1" si="2"/>
        <v>18909</v>
      </c>
      <c r="Q34" s="77"/>
      <c r="R34" s="21">
        <f t="shared" ca="1" si="3"/>
        <v>91</v>
      </c>
    </row>
    <row r="35" spans="1:26" x14ac:dyDescent="0.25">
      <c r="A35" s="81" t="s">
        <v>26</v>
      </c>
      <c r="B35" s="76"/>
      <c r="C35" s="76"/>
      <c r="D35" s="76"/>
      <c r="E35" s="77"/>
      <c r="F35" s="81" t="s">
        <v>25</v>
      </c>
      <c r="G35" s="76"/>
      <c r="H35" s="76"/>
      <c r="I35" s="77"/>
      <c r="J35" s="22"/>
      <c r="K35" s="82">
        <f t="shared" ca="1" si="0"/>
        <v>25765</v>
      </c>
      <c r="L35" s="77"/>
      <c r="M35" s="82">
        <f t="shared" ca="1" si="1"/>
        <v>823</v>
      </c>
      <c r="N35" s="76"/>
      <c r="O35" s="77"/>
      <c r="P35" s="82">
        <f t="shared" ca="1" si="2"/>
        <v>24972</v>
      </c>
      <c r="Q35" s="77"/>
      <c r="R35" s="21">
        <f t="shared" ca="1" si="3"/>
        <v>43</v>
      </c>
    </row>
    <row r="36" spans="1:26" x14ac:dyDescent="0.25">
      <c r="A36" s="81" t="s">
        <v>38</v>
      </c>
      <c r="B36" s="76"/>
      <c r="C36" s="76"/>
      <c r="D36" s="76"/>
      <c r="E36" s="77"/>
      <c r="F36" s="81" t="s">
        <v>37</v>
      </c>
      <c r="G36" s="76"/>
      <c r="H36" s="76"/>
      <c r="I36" s="77"/>
      <c r="J36" s="22"/>
      <c r="K36" s="82">
        <f t="shared" ca="1" si="0"/>
        <v>10353</v>
      </c>
      <c r="L36" s="77"/>
      <c r="M36" s="82">
        <f t="shared" ca="1" si="1"/>
        <v>4935</v>
      </c>
      <c r="N36" s="76"/>
      <c r="O36" s="77"/>
      <c r="P36" s="82">
        <f t="shared" ca="1" si="2"/>
        <v>8195</v>
      </c>
      <c r="Q36" s="77"/>
      <c r="R36" s="21">
        <f t="shared" ca="1" si="3"/>
        <v>55</v>
      </c>
    </row>
    <row r="37" spans="1:26" x14ac:dyDescent="0.25">
      <c r="A37" s="81" t="s">
        <v>34</v>
      </c>
      <c r="B37" s="76"/>
      <c r="C37" s="76"/>
      <c r="D37" s="76"/>
      <c r="E37" s="77"/>
      <c r="F37" s="81" t="s">
        <v>33</v>
      </c>
      <c r="G37" s="76"/>
      <c r="H37" s="76"/>
      <c r="I37" s="77"/>
      <c r="J37" s="22"/>
      <c r="K37" s="82">
        <f t="shared" ca="1" si="0"/>
        <v>25667</v>
      </c>
      <c r="L37" s="77"/>
      <c r="M37" s="82">
        <f t="shared" ca="1" si="1"/>
        <v>3063</v>
      </c>
      <c r="N37" s="76"/>
      <c r="O37" s="77"/>
      <c r="P37" s="82">
        <f t="shared" ca="1" si="2"/>
        <v>5324</v>
      </c>
      <c r="Q37" s="77"/>
      <c r="R37" s="21">
        <f t="shared" ca="1" si="3"/>
        <v>70</v>
      </c>
    </row>
    <row r="38" spans="1:26" x14ac:dyDescent="0.25">
      <c r="A38" s="81" t="s">
        <v>28</v>
      </c>
      <c r="B38" s="76"/>
      <c r="C38" s="76"/>
      <c r="D38" s="76"/>
      <c r="E38" s="77"/>
      <c r="F38" s="81" t="s">
        <v>27</v>
      </c>
      <c r="G38" s="76"/>
      <c r="H38" s="76"/>
      <c r="I38" s="77"/>
      <c r="J38" s="22"/>
      <c r="K38" s="82">
        <f t="shared" ca="1" si="0"/>
        <v>5052</v>
      </c>
      <c r="L38" s="77"/>
      <c r="M38" s="82">
        <f t="shared" ca="1" si="1"/>
        <v>3776</v>
      </c>
      <c r="N38" s="76"/>
      <c r="O38" s="77"/>
      <c r="P38" s="82">
        <f t="shared" ca="1" si="2"/>
        <v>16246</v>
      </c>
      <c r="Q38" s="77"/>
      <c r="R38" s="21">
        <f t="shared" ca="1" si="3"/>
        <v>51</v>
      </c>
    </row>
    <row r="39" spans="1:26" x14ac:dyDescent="0.25">
      <c r="A39" s="81" t="s">
        <v>78</v>
      </c>
      <c r="B39" s="76"/>
      <c r="C39" s="76"/>
      <c r="D39" s="76"/>
      <c r="E39" s="77"/>
      <c r="F39" s="81" t="s">
        <v>77</v>
      </c>
      <c r="G39" s="76"/>
      <c r="H39" s="76"/>
      <c r="I39" s="77"/>
      <c r="J39" s="22"/>
      <c r="K39" s="82">
        <f t="shared" ca="1" si="0"/>
        <v>29699</v>
      </c>
      <c r="L39" s="77"/>
      <c r="M39" s="82">
        <f t="shared" ca="1" si="1"/>
        <v>3824</v>
      </c>
      <c r="N39" s="76"/>
      <c r="O39" s="77"/>
      <c r="P39" s="82">
        <f t="shared" ca="1" si="2"/>
        <v>15795</v>
      </c>
      <c r="Q39" s="77"/>
      <c r="R39" s="21">
        <f t="shared" ca="1" si="3"/>
        <v>8</v>
      </c>
    </row>
    <row r="40" spans="1:26" x14ac:dyDescent="0.25">
      <c r="A40" s="81" t="s">
        <v>40</v>
      </c>
      <c r="B40" s="76"/>
      <c r="C40" s="76"/>
      <c r="D40" s="76"/>
      <c r="E40" s="77"/>
      <c r="F40" s="81" t="s">
        <v>39</v>
      </c>
      <c r="G40" s="76"/>
      <c r="H40" s="76"/>
      <c r="I40" s="77"/>
      <c r="J40" s="22"/>
      <c r="K40" s="82">
        <f t="shared" ca="1" si="0"/>
        <v>13816</v>
      </c>
      <c r="L40" s="77"/>
      <c r="M40" s="82">
        <f t="shared" ca="1" si="1"/>
        <v>2437</v>
      </c>
      <c r="N40" s="76"/>
      <c r="O40" s="77"/>
      <c r="P40" s="82">
        <f t="shared" ca="1" si="2"/>
        <v>11554</v>
      </c>
      <c r="Q40" s="77"/>
      <c r="R40" s="21">
        <f t="shared" ca="1" si="3"/>
        <v>23</v>
      </c>
    </row>
    <row r="41" spans="1:26" x14ac:dyDescent="0.25">
      <c r="A41" s="81" t="s">
        <v>32</v>
      </c>
      <c r="B41" s="76"/>
      <c r="C41" s="76"/>
      <c r="D41" s="76"/>
      <c r="E41" s="77"/>
      <c r="F41" s="81" t="s">
        <v>31</v>
      </c>
      <c r="G41" s="76"/>
      <c r="H41" s="76"/>
      <c r="I41" s="77"/>
      <c r="J41" s="22"/>
      <c r="K41" s="82">
        <f t="shared" ca="1" si="0"/>
        <v>5828</v>
      </c>
      <c r="L41" s="77"/>
      <c r="M41" s="82">
        <f t="shared" ca="1" si="1"/>
        <v>5882</v>
      </c>
      <c r="N41" s="76"/>
      <c r="O41" s="77"/>
      <c r="P41" s="82">
        <f t="shared" ca="1" si="2"/>
        <v>22138</v>
      </c>
      <c r="Q41" s="77"/>
      <c r="R41" s="21">
        <f t="shared" ca="1" si="3"/>
        <v>62</v>
      </c>
    </row>
    <row r="42" spans="1:26" x14ac:dyDescent="0.25">
      <c r="A42" s="81" t="s">
        <v>30</v>
      </c>
      <c r="B42" s="76"/>
      <c r="C42" s="76"/>
      <c r="D42" s="76"/>
      <c r="E42" s="77"/>
      <c r="F42" s="81" t="s">
        <v>29</v>
      </c>
      <c r="G42" s="76"/>
      <c r="H42" s="76"/>
      <c r="I42" s="77"/>
      <c r="J42" s="22"/>
      <c r="K42" s="82">
        <f t="shared" ca="1" si="0"/>
        <v>17910</v>
      </c>
      <c r="L42" s="77"/>
      <c r="M42" s="82">
        <f t="shared" ca="1" si="1"/>
        <v>3777</v>
      </c>
      <c r="N42" s="76"/>
      <c r="O42" s="77"/>
      <c r="P42" s="82">
        <f t="shared" ca="1" si="2"/>
        <v>20306</v>
      </c>
      <c r="Q42" s="77"/>
      <c r="R42" s="21">
        <f t="shared" ca="1" si="3"/>
        <v>18</v>
      </c>
    </row>
    <row r="43" spans="1:26" x14ac:dyDescent="0.25">
      <c r="A43" s="81" t="s">
        <v>36</v>
      </c>
      <c r="B43" s="76"/>
      <c r="C43" s="76"/>
      <c r="D43" s="76"/>
      <c r="E43" s="77"/>
      <c r="F43" s="81" t="s">
        <v>35</v>
      </c>
      <c r="G43" s="76"/>
      <c r="H43" s="76"/>
      <c r="I43" s="77"/>
      <c r="J43" s="22"/>
      <c r="K43" s="82">
        <f t="shared" ca="1" si="0"/>
        <v>14830</v>
      </c>
      <c r="L43" s="77"/>
      <c r="M43" s="82">
        <f t="shared" ca="1" si="1"/>
        <v>1933</v>
      </c>
      <c r="N43" s="76"/>
      <c r="O43" s="77"/>
      <c r="P43" s="82">
        <f t="shared" ca="1" si="2"/>
        <v>24128</v>
      </c>
      <c r="Q43" s="77"/>
      <c r="R43" s="21">
        <f t="shared" ca="1" si="3"/>
        <v>50</v>
      </c>
    </row>
    <row r="44" spans="1:26" x14ac:dyDescent="0.25">
      <c r="A44" s="81" t="s">
        <v>34</v>
      </c>
      <c r="B44" s="76"/>
      <c r="C44" s="76"/>
      <c r="D44" s="76"/>
      <c r="E44" s="77"/>
      <c r="F44" s="81" t="s">
        <v>33</v>
      </c>
      <c r="G44" s="76"/>
      <c r="H44" s="76"/>
      <c r="I44" s="77"/>
      <c r="J44" s="22"/>
      <c r="K44" s="82">
        <f t="shared" ca="1" si="0"/>
        <v>992</v>
      </c>
      <c r="L44" s="77"/>
      <c r="M44" s="82">
        <f t="shared" ca="1" si="1"/>
        <v>6594</v>
      </c>
      <c r="N44" s="76"/>
      <c r="O44" s="77"/>
      <c r="P44" s="82">
        <f t="shared" ca="1" si="2"/>
        <v>14499</v>
      </c>
      <c r="Q44" s="77"/>
      <c r="R44" s="21">
        <f t="shared" ca="1" si="3"/>
        <v>95</v>
      </c>
    </row>
    <row r="45" spans="1:26" x14ac:dyDescent="0.25">
      <c r="A45" s="75" t="s">
        <v>22</v>
      </c>
      <c r="B45" s="76"/>
      <c r="C45" s="76"/>
      <c r="D45" s="76"/>
      <c r="E45" s="76"/>
      <c r="F45" s="76"/>
      <c r="G45" s="76"/>
      <c r="H45" s="76"/>
      <c r="I45" s="77"/>
      <c r="J45" s="20"/>
      <c r="K45" s="78">
        <f ca="1">SUM(K18:L44)</f>
        <v>461379</v>
      </c>
      <c r="L45" s="77"/>
      <c r="M45" s="78">
        <f ca="1">SUM(M18:O44)</f>
        <v>97084</v>
      </c>
      <c r="N45" s="76"/>
      <c r="O45" s="77"/>
      <c r="P45" s="78">
        <f ca="1">SUM(P18:Q44)</f>
        <v>423781</v>
      </c>
      <c r="Q45" s="77"/>
      <c r="R45" s="19">
        <f ca="1">SUM(R18:R44)</f>
        <v>1418</v>
      </c>
    </row>
    <row r="46" spans="1:26" ht="27" customHeight="1" x14ac:dyDescent="0.25">
      <c r="A46" s="79" t="s">
        <v>21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</sheetData>
  <mergeCells count="171">
    <mergeCell ref="A1:N3"/>
    <mergeCell ref="U4:V4"/>
    <mergeCell ref="A5:H5"/>
    <mergeCell ref="I5:W5"/>
    <mergeCell ref="A6:H6"/>
    <mergeCell ref="I6:W6"/>
    <mergeCell ref="A7:H7"/>
    <mergeCell ref="I7:W7"/>
    <mergeCell ref="G8:H8"/>
    <mergeCell ref="I8:W8"/>
    <mergeCell ref="C9:H9"/>
    <mergeCell ref="I9:W9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17:E17"/>
    <mergeCell ref="F17:I17"/>
    <mergeCell ref="K17:L17"/>
    <mergeCell ref="M17:O17"/>
    <mergeCell ref="P17:Q17"/>
    <mergeCell ref="G13:H13"/>
    <mergeCell ref="I13:W13"/>
    <mergeCell ref="D14:G14"/>
    <mergeCell ref="H14:X14"/>
    <mergeCell ref="A15:H15"/>
    <mergeCell ref="A19:E19"/>
    <mergeCell ref="F19:I19"/>
    <mergeCell ref="K19:L19"/>
    <mergeCell ref="M19:O19"/>
    <mergeCell ref="P19:Q19"/>
    <mergeCell ref="A18:E18"/>
    <mergeCell ref="F18:I18"/>
    <mergeCell ref="K18:L18"/>
    <mergeCell ref="M18:O18"/>
    <mergeCell ref="P18:Q18"/>
    <mergeCell ref="A21:E21"/>
    <mergeCell ref="F21:I21"/>
    <mergeCell ref="K21:L21"/>
    <mergeCell ref="M21:O21"/>
    <mergeCell ref="P21:Q21"/>
    <mergeCell ref="A20:E20"/>
    <mergeCell ref="F20:I20"/>
    <mergeCell ref="K20:L20"/>
    <mergeCell ref="M20:O20"/>
    <mergeCell ref="P20:Q20"/>
    <mergeCell ref="A23:E23"/>
    <mergeCell ref="F23:I23"/>
    <mergeCell ref="K23:L23"/>
    <mergeCell ref="M23:O23"/>
    <mergeCell ref="P23:Q23"/>
    <mergeCell ref="A22:E22"/>
    <mergeCell ref="F22:I22"/>
    <mergeCell ref="K22:L22"/>
    <mergeCell ref="M22:O22"/>
    <mergeCell ref="P22:Q22"/>
    <mergeCell ref="A25:E25"/>
    <mergeCell ref="F25:I25"/>
    <mergeCell ref="K25:L25"/>
    <mergeCell ref="M25:O25"/>
    <mergeCell ref="P25:Q25"/>
    <mergeCell ref="A24:E24"/>
    <mergeCell ref="F24:I24"/>
    <mergeCell ref="K24:L24"/>
    <mergeCell ref="M24:O24"/>
    <mergeCell ref="P24:Q24"/>
    <mergeCell ref="A27:E27"/>
    <mergeCell ref="F27:I27"/>
    <mergeCell ref="K27:L27"/>
    <mergeCell ref="M27:O27"/>
    <mergeCell ref="P27:Q27"/>
    <mergeCell ref="A26:E26"/>
    <mergeCell ref="F26:I26"/>
    <mergeCell ref="K26:L26"/>
    <mergeCell ref="M26:O26"/>
    <mergeCell ref="P26:Q26"/>
    <mergeCell ref="A29:E29"/>
    <mergeCell ref="F29:I29"/>
    <mergeCell ref="K29:L29"/>
    <mergeCell ref="M29:O29"/>
    <mergeCell ref="P29:Q29"/>
    <mergeCell ref="A28:E28"/>
    <mergeCell ref="F28:I28"/>
    <mergeCell ref="K28:L28"/>
    <mergeCell ref="M28:O28"/>
    <mergeCell ref="P28:Q28"/>
    <mergeCell ref="A31:E31"/>
    <mergeCell ref="F31:I31"/>
    <mergeCell ref="K31:L31"/>
    <mergeCell ref="M31:O31"/>
    <mergeCell ref="P31:Q31"/>
    <mergeCell ref="A30:E30"/>
    <mergeCell ref="F30:I30"/>
    <mergeCell ref="K30:L30"/>
    <mergeCell ref="M30:O30"/>
    <mergeCell ref="P30:Q30"/>
    <mergeCell ref="A33:E33"/>
    <mergeCell ref="F33:I33"/>
    <mergeCell ref="K33:L33"/>
    <mergeCell ref="M33:O33"/>
    <mergeCell ref="P33:Q33"/>
    <mergeCell ref="A32:E32"/>
    <mergeCell ref="F32:I32"/>
    <mergeCell ref="K32:L32"/>
    <mergeCell ref="M32:O32"/>
    <mergeCell ref="P32:Q32"/>
    <mergeCell ref="A35:E35"/>
    <mergeCell ref="F35:I35"/>
    <mergeCell ref="K35:L35"/>
    <mergeCell ref="M35:O35"/>
    <mergeCell ref="P35:Q35"/>
    <mergeCell ref="A34:E34"/>
    <mergeCell ref="F34:I34"/>
    <mergeCell ref="K34:L34"/>
    <mergeCell ref="M34:O34"/>
    <mergeCell ref="P34:Q34"/>
    <mergeCell ref="A37:E37"/>
    <mergeCell ref="F37:I37"/>
    <mergeCell ref="K37:L37"/>
    <mergeCell ref="M37:O37"/>
    <mergeCell ref="P37:Q37"/>
    <mergeCell ref="A36:E36"/>
    <mergeCell ref="F36:I36"/>
    <mergeCell ref="K36:L36"/>
    <mergeCell ref="M36:O36"/>
    <mergeCell ref="P36:Q36"/>
    <mergeCell ref="A39:E39"/>
    <mergeCell ref="F39:I39"/>
    <mergeCell ref="K39:L39"/>
    <mergeCell ref="M39:O39"/>
    <mergeCell ref="P39:Q39"/>
    <mergeCell ref="A38:E38"/>
    <mergeCell ref="F38:I38"/>
    <mergeCell ref="K38:L38"/>
    <mergeCell ref="M38:O38"/>
    <mergeCell ref="P38:Q38"/>
    <mergeCell ref="A41:E41"/>
    <mergeCell ref="F41:I41"/>
    <mergeCell ref="K41:L41"/>
    <mergeCell ref="M41:O41"/>
    <mergeCell ref="P41:Q41"/>
    <mergeCell ref="A40:E40"/>
    <mergeCell ref="F40:I40"/>
    <mergeCell ref="K40:L40"/>
    <mergeCell ref="M40:O40"/>
    <mergeCell ref="P40:Q40"/>
    <mergeCell ref="A43:E43"/>
    <mergeCell ref="F43:I43"/>
    <mergeCell ref="K43:L43"/>
    <mergeCell ref="M43:O43"/>
    <mergeCell ref="P43:Q43"/>
    <mergeCell ref="A42:E42"/>
    <mergeCell ref="F42:I42"/>
    <mergeCell ref="K42:L42"/>
    <mergeCell ref="M42:O42"/>
    <mergeCell ref="P42:Q42"/>
    <mergeCell ref="A45:I45"/>
    <mergeCell ref="K45:L45"/>
    <mergeCell ref="M45:O45"/>
    <mergeCell ref="P45:Q45"/>
    <mergeCell ref="A46:Z46"/>
    <mergeCell ref="A44:E44"/>
    <mergeCell ref="F44:I44"/>
    <mergeCell ref="K44:L44"/>
    <mergeCell ref="M44:O44"/>
    <mergeCell ref="P44:Q44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6DEE-068D-458E-8804-3B8BBDEECAFB}">
  <dimension ref="A1:AA40"/>
  <sheetViews>
    <sheetView showGridLines="0" workbookViewId="0">
      <pane ySplit="4" topLeftCell="A12" activePane="bottomLeft" state="frozen"/>
      <selection pane="bottomLeft" activeCell="T20" sqref="T20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415640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67737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1032</v>
      </c>
    </row>
    <row r="4" spans="1:27" ht="12.2" customHeight="1" x14ac:dyDescent="0.25">
      <c r="U4" s="88">
        <v>45390.407587349502</v>
      </c>
      <c r="V4" s="80"/>
      <c r="AA4" s="17">
        <f ca="1">AA2-AA3</f>
        <v>66705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45352</v>
      </c>
      <c r="J15" s="80"/>
      <c r="K15" s="80"/>
      <c r="L15" s="84" t="s">
        <v>17</v>
      </c>
      <c r="M15" s="80"/>
      <c r="N15" s="85">
        <v>45382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6921</v>
      </c>
      <c r="L18" s="77"/>
      <c r="M18" s="82">
        <f ca="1">RANDBETWEEN(0,7000)</f>
        <v>5109</v>
      </c>
      <c r="N18" s="76"/>
      <c r="O18" s="77"/>
      <c r="P18" s="82">
        <f ca="1">RANDBETWEEN(0,25000)</f>
        <v>3266</v>
      </c>
      <c r="Q18" s="77"/>
      <c r="R18" s="21">
        <f ca="1">RANDBETWEEN(0,100)</f>
        <v>20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38" ca="1" si="0">RANDBETWEEN(0,32500)</f>
        <v>30581</v>
      </c>
      <c r="L19" s="77"/>
      <c r="M19" s="82">
        <f t="shared" ref="M19:M38" ca="1" si="1">RANDBETWEEN(0,7000)</f>
        <v>678</v>
      </c>
      <c r="N19" s="76"/>
      <c r="O19" s="77"/>
      <c r="P19" s="82">
        <f t="shared" ref="P19:P38" ca="1" si="2">RANDBETWEEN(0,25000)</f>
        <v>5347</v>
      </c>
      <c r="Q19" s="77"/>
      <c r="R19" s="21">
        <f t="shared" ref="R19:R38" ca="1" si="3">RANDBETWEEN(0,100)</f>
        <v>69</v>
      </c>
    </row>
    <row r="20" spans="1:18" x14ac:dyDescent="0.25">
      <c r="A20" s="81" t="s">
        <v>28</v>
      </c>
      <c r="B20" s="76"/>
      <c r="C20" s="76"/>
      <c r="D20" s="76"/>
      <c r="E20" s="77"/>
      <c r="F20" s="81" t="s">
        <v>27</v>
      </c>
      <c r="G20" s="76"/>
      <c r="H20" s="76"/>
      <c r="I20" s="77"/>
      <c r="J20" s="22"/>
      <c r="K20" s="82">
        <f t="shared" ca="1" si="0"/>
        <v>15827</v>
      </c>
      <c r="L20" s="77"/>
      <c r="M20" s="82">
        <f t="shared" ca="1" si="1"/>
        <v>5608</v>
      </c>
      <c r="N20" s="76"/>
      <c r="O20" s="77"/>
      <c r="P20" s="82">
        <f t="shared" ca="1" si="2"/>
        <v>5147</v>
      </c>
      <c r="Q20" s="77"/>
      <c r="R20" s="21">
        <f t="shared" ca="1" si="3"/>
        <v>12</v>
      </c>
    </row>
    <row r="21" spans="1:18" x14ac:dyDescent="0.25">
      <c r="A21" s="81" t="s">
        <v>42</v>
      </c>
      <c r="B21" s="76"/>
      <c r="C21" s="76"/>
      <c r="D21" s="76"/>
      <c r="E21" s="77"/>
      <c r="F21" s="81" t="s">
        <v>41</v>
      </c>
      <c r="G21" s="76"/>
      <c r="H21" s="76"/>
      <c r="I21" s="77"/>
      <c r="J21" s="22"/>
      <c r="K21" s="82">
        <f t="shared" ca="1" si="0"/>
        <v>2285</v>
      </c>
      <c r="L21" s="77"/>
      <c r="M21" s="82">
        <f t="shared" ca="1" si="1"/>
        <v>4703</v>
      </c>
      <c r="N21" s="76"/>
      <c r="O21" s="77"/>
      <c r="P21" s="82">
        <f t="shared" ca="1" si="2"/>
        <v>17577</v>
      </c>
      <c r="Q21" s="77"/>
      <c r="R21" s="21">
        <f t="shared" ca="1" si="3"/>
        <v>58</v>
      </c>
    </row>
    <row r="22" spans="1:18" x14ac:dyDescent="0.25">
      <c r="A22" s="81" t="s">
        <v>24</v>
      </c>
      <c r="B22" s="76"/>
      <c r="C22" s="76"/>
      <c r="D22" s="76"/>
      <c r="E22" s="77"/>
      <c r="F22" s="81" t="s">
        <v>23</v>
      </c>
      <c r="G22" s="76"/>
      <c r="H22" s="76"/>
      <c r="I22" s="77"/>
      <c r="J22" s="22"/>
      <c r="K22" s="82">
        <f t="shared" ca="1" si="0"/>
        <v>24687</v>
      </c>
      <c r="L22" s="77"/>
      <c r="M22" s="82">
        <f t="shared" ca="1" si="1"/>
        <v>1994</v>
      </c>
      <c r="N22" s="76"/>
      <c r="O22" s="77"/>
      <c r="P22" s="82">
        <f t="shared" ca="1" si="2"/>
        <v>195</v>
      </c>
      <c r="Q22" s="77"/>
      <c r="R22" s="21">
        <f t="shared" ca="1" si="3"/>
        <v>23</v>
      </c>
    </row>
    <row r="23" spans="1:18" x14ac:dyDescent="0.25">
      <c r="A23" s="81" t="s">
        <v>30</v>
      </c>
      <c r="B23" s="76"/>
      <c r="C23" s="76"/>
      <c r="D23" s="76"/>
      <c r="E23" s="77"/>
      <c r="F23" s="81" t="s">
        <v>29</v>
      </c>
      <c r="G23" s="76"/>
      <c r="H23" s="76"/>
      <c r="I23" s="77"/>
      <c r="J23" s="22"/>
      <c r="K23" s="82">
        <f t="shared" ca="1" si="0"/>
        <v>8441</v>
      </c>
      <c r="L23" s="77"/>
      <c r="M23" s="82">
        <f t="shared" ca="1" si="1"/>
        <v>2974</v>
      </c>
      <c r="N23" s="76"/>
      <c r="O23" s="77"/>
      <c r="P23" s="82">
        <f t="shared" ca="1" si="2"/>
        <v>5200</v>
      </c>
      <c r="Q23" s="77"/>
      <c r="R23" s="21">
        <f t="shared" ca="1" si="3"/>
        <v>40</v>
      </c>
    </row>
    <row r="24" spans="1:18" x14ac:dyDescent="0.25">
      <c r="A24" s="81" t="s">
        <v>86</v>
      </c>
      <c r="B24" s="76"/>
      <c r="C24" s="76"/>
      <c r="D24" s="76"/>
      <c r="E24" s="77"/>
      <c r="F24" s="81" t="s">
        <v>85</v>
      </c>
      <c r="G24" s="76"/>
      <c r="H24" s="76"/>
      <c r="I24" s="77"/>
      <c r="J24" s="22"/>
      <c r="K24" s="82">
        <f t="shared" ca="1" si="0"/>
        <v>24336</v>
      </c>
      <c r="L24" s="77"/>
      <c r="M24" s="82">
        <f t="shared" ca="1" si="1"/>
        <v>867</v>
      </c>
      <c r="N24" s="76"/>
      <c r="O24" s="77"/>
      <c r="P24" s="82">
        <f t="shared" ca="1" si="2"/>
        <v>10428</v>
      </c>
      <c r="Q24" s="77"/>
      <c r="R24" s="21">
        <f t="shared" ca="1" si="3"/>
        <v>8</v>
      </c>
    </row>
    <row r="25" spans="1:18" x14ac:dyDescent="0.25">
      <c r="A25" s="81" t="s">
        <v>26</v>
      </c>
      <c r="B25" s="76"/>
      <c r="C25" s="76"/>
      <c r="D25" s="76"/>
      <c r="E25" s="77"/>
      <c r="F25" s="81" t="s">
        <v>25</v>
      </c>
      <c r="G25" s="76"/>
      <c r="H25" s="76"/>
      <c r="I25" s="77"/>
      <c r="J25" s="22"/>
      <c r="K25" s="82">
        <f t="shared" ca="1" si="0"/>
        <v>30103</v>
      </c>
      <c r="L25" s="77"/>
      <c r="M25" s="82">
        <f t="shared" ca="1" si="1"/>
        <v>5692</v>
      </c>
      <c r="N25" s="76"/>
      <c r="O25" s="77"/>
      <c r="P25" s="82">
        <f t="shared" ca="1" si="2"/>
        <v>10787</v>
      </c>
      <c r="Q25" s="77"/>
      <c r="R25" s="21">
        <f t="shared" ca="1" si="3"/>
        <v>55</v>
      </c>
    </row>
    <row r="26" spans="1:18" x14ac:dyDescent="0.25">
      <c r="A26" s="81" t="s">
        <v>24</v>
      </c>
      <c r="B26" s="76"/>
      <c r="C26" s="76"/>
      <c r="D26" s="76"/>
      <c r="E26" s="77"/>
      <c r="F26" s="81" t="s">
        <v>23</v>
      </c>
      <c r="G26" s="76"/>
      <c r="H26" s="76"/>
      <c r="I26" s="77"/>
      <c r="J26" s="22"/>
      <c r="K26" s="82">
        <f t="shared" ca="1" si="0"/>
        <v>28990</v>
      </c>
      <c r="L26" s="77"/>
      <c r="M26" s="82">
        <f t="shared" ca="1" si="1"/>
        <v>1848</v>
      </c>
      <c r="N26" s="76"/>
      <c r="O26" s="77"/>
      <c r="P26" s="82">
        <f t="shared" ca="1" si="2"/>
        <v>19302</v>
      </c>
      <c r="Q26" s="77"/>
      <c r="R26" s="21">
        <f t="shared" ca="1" si="3"/>
        <v>59</v>
      </c>
    </row>
    <row r="27" spans="1:18" x14ac:dyDescent="0.25">
      <c r="A27" s="81" t="s">
        <v>44</v>
      </c>
      <c r="B27" s="76"/>
      <c r="C27" s="76"/>
      <c r="D27" s="76"/>
      <c r="E27" s="77"/>
      <c r="F27" s="81" t="s">
        <v>43</v>
      </c>
      <c r="G27" s="76"/>
      <c r="H27" s="76"/>
      <c r="I27" s="77"/>
      <c r="J27" s="22"/>
      <c r="K27" s="82">
        <f t="shared" ca="1" si="0"/>
        <v>21424</v>
      </c>
      <c r="L27" s="77"/>
      <c r="M27" s="82">
        <f t="shared" ca="1" si="1"/>
        <v>4764</v>
      </c>
      <c r="N27" s="76"/>
      <c r="O27" s="77"/>
      <c r="P27" s="82">
        <f t="shared" ca="1" si="2"/>
        <v>7156</v>
      </c>
      <c r="Q27" s="77"/>
      <c r="R27" s="21">
        <f t="shared" ca="1" si="3"/>
        <v>79</v>
      </c>
    </row>
    <row r="28" spans="1:18" x14ac:dyDescent="0.25">
      <c r="A28" s="81" t="s">
        <v>26</v>
      </c>
      <c r="B28" s="76"/>
      <c r="C28" s="76"/>
      <c r="D28" s="76"/>
      <c r="E28" s="77"/>
      <c r="F28" s="81" t="s">
        <v>25</v>
      </c>
      <c r="G28" s="76"/>
      <c r="H28" s="76"/>
      <c r="I28" s="77"/>
      <c r="J28" s="22"/>
      <c r="K28" s="82">
        <f t="shared" ca="1" si="0"/>
        <v>2915</v>
      </c>
      <c r="L28" s="77"/>
      <c r="M28" s="82">
        <f t="shared" ca="1" si="1"/>
        <v>1769</v>
      </c>
      <c r="N28" s="76"/>
      <c r="O28" s="77"/>
      <c r="P28" s="82">
        <f t="shared" ca="1" si="2"/>
        <v>10138</v>
      </c>
      <c r="Q28" s="77"/>
      <c r="R28" s="21">
        <f t="shared" ca="1" si="3"/>
        <v>77</v>
      </c>
    </row>
    <row r="29" spans="1:18" x14ac:dyDescent="0.25">
      <c r="A29" s="81" t="s">
        <v>30</v>
      </c>
      <c r="B29" s="76"/>
      <c r="C29" s="76"/>
      <c r="D29" s="76"/>
      <c r="E29" s="77"/>
      <c r="F29" s="81" t="s">
        <v>29</v>
      </c>
      <c r="G29" s="76"/>
      <c r="H29" s="76"/>
      <c r="I29" s="77"/>
      <c r="J29" s="22"/>
      <c r="K29" s="82">
        <f t="shared" ca="1" si="0"/>
        <v>25432</v>
      </c>
      <c r="L29" s="77"/>
      <c r="M29" s="82">
        <f t="shared" ca="1" si="1"/>
        <v>1199</v>
      </c>
      <c r="N29" s="76"/>
      <c r="O29" s="77"/>
      <c r="P29" s="82">
        <f t="shared" ca="1" si="2"/>
        <v>24128</v>
      </c>
      <c r="Q29" s="77"/>
      <c r="R29" s="21">
        <f t="shared" ca="1" si="3"/>
        <v>100</v>
      </c>
    </row>
    <row r="30" spans="1:18" x14ac:dyDescent="0.25">
      <c r="A30" s="81" t="s">
        <v>42</v>
      </c>
      <c r="B30" s="76"/>
      <c r="C30" s="76"/>
      <c r="D30" s="76"/>
      <c r="E30" s="77"/>
      <c r="F30" s="81" t="s">
        <v>41</v>
      </c>
      <c r="G30" s="76"/>
      <c r="H30" s="76"/>
      <c r="I30" s="77"/>
      <c r="J30" s="22"/>
      <c r="K30" s="82">
        <f t="shared" ca="1" si="0"/>
        <v>28604</v>
      </c>
      <c r="L30" s="77"/>
      <c r="M30" s="82">
        <f t="shared" ca="1" si="1"/>
        <v>3366</v>
      </c>
      <c r="N30" s="76"/>
      <c r="O30" s="77"/>
      <c r="P30" s="82">
        <f t="shared" ca="1" si="2"/>
        <v>148</v>
      </c>
      <c r="Q30" s="77"/>
      <c r="R30" s="21">
        <f t="shared" ca="1" si="3"/>
        <v>97</v>
      </c>
    </row>
    <row r="31" spans="1:18" x14ac:dyDescent="0.25">
      <c r="A31" s="81" t="s">
        <v>28</v>
      </c>
      <c r="B31" s="76"/>
      <c r="C31" s="76"/>
      <c r="D31" s="76"/>
      <c r="E31" s="77"/>
      <c r="F31" s="81" t="s">
        <v>27</v>
      </c>
      <c r="G31" s="76"/>
      <c r="H31" s="76"/>
      <c r="I31" s="77"/>
      <c r="J31" s="22"/>
      <c r="K31" s="82">
        <f t="shared" ca="1" si="0"/>
        <v>14956</v>
      </c>
      <c r="L31" s="77"/>
      <c r="M31" s="82">
        <f t="shared" ca="1" si="1"/>
        <v>6226</v>
      </c>
      <c r="N31" s="76"/>
      <c r="O31" s="77"/>
      <c r="P31" s="82">
        <f t="shared" ca="1" si="2"/>
        <v>16487</v>
      </c>
      <c r="Q31" s="77"/>
      <c r="R31" s="21">
        <f t="shared" ca="1" si="3"/>
        <v>58</v>
      </c>
    </row>
    <row r="32" spans="1:18" x14ac:dyDescent="0.25">
      <c r="A32" s="81" t="s">
        <v>32</v>
      </c>
      <c r="B32" s="76"/>
      <c r="C32" s="76"/>
      <c r="D32" s="76"/>
      <c r="E32" s="77"/>
      <c r="F32" s="81" t="s">
        <v>31</v>
      </c>
      <c r="G32" s="76"/>
      <c r="H32" s="76"/>
      <c r="I32" s="77"/>
      <c r="J32" s="22"/>
      <c r="K32" s="82">
        <f t="shared" ca="1" si="0"/>
        <v>30034</v>
      </c>
      <c r="L32" s="77"/>
      <c r="M32" s="82">
        <f t="shared" ca="1" si="1"/>
        <v>5613</v>
      </c>
      <c r="N32" s="76"/>
      <c r="O32" s="77"/>
      <c r="P32" s="82">
        <f t="shared" ca="1" si="2"/>
        <v>15853</v>
      </c>
      <c r="Q32" s="77"/>
      <c r="R32" s="21">
        <f t="shared" ca="1" si="3"/>
        <v>24</v>
      </c>
    </row>
    <row r="33" spans="1:26" x14ac:dyDescent="0.25">
      <c r="A33" s="81" t="s">
        <v>40</v>
      </c>
      <c r="B33" s="76"/>
      <c r="C33" s="76"/>
      <c r="D33" s="76"/>
      <c r="E33" s="77"/>
      <c r="F33" s="81" t="s">
        <v>39</v>
      </c>
      <c r="G33" s="76"/>
      <c r="H33" s="76"/>
      <c r="I33" s="77"/>
      <c r="J33" s="22"/>
      <c r="K33" s="82">
        <f t="shared" ca="1" si="0"/>
        <v>28140</v>
      </c>
      <c r="L33" s="77"/>
      <c r="M33" s="82">
        <f t="shared" ca="1" si="1"/>
        <v>5437</v>
      </c>
      <c r="N33" s="76"/>
      <c r="O33" s="77"/>
      <c r="P33" s="82">
        <f t="shared" ca="1" si="2"/>
        <v>10553</v>
      </c>
      <c r="Q33" s="77"/>
      <c r="R33" s="21">
        <f t="shared" ca="1" si="3"/>
        <v>45</v>
      </c>
    </row>
    <row r="34" spans="1:26" x14ac:dyDescent="0.25">
      <c r="A34" s="81" t="s">
        <v>26</v>
      </c>
      <c r="B34" s="76"/>
      <c r="C34" s="76"/>
      <c r="D34" s="76"/>
      <c r="E34" s="77"/>
      <c r="F34" s="81" t="s">
        <v>25</v>
      </c>
      <c r="G34" s="76"/>
      <c r="H34" s="76"/>
      <c r="I34" s="77"/>
      <c r="J34" s="22"/>
      <c r="K34" s="82">
        <f t="shared" ca="1" si="0"/>
        <v>22382</v>
      </c>
      <c r="L34" s="77"/>
      <c r="M34" s="82">
        <f t="shared" ca="1" si="1"/>
        <v>2770</v>
      </c>
      <c r="N34" s="76"/>
      <c r="O34" s="77"/>
      <c r="P34" s="82">
        <f t="shared" ca="1" si="2"/>
        <v>10958</v>
      </c>
      <c r="Q34" s="77"/>
      <c r="R34" s="21">
        <f t="shared" ca="1" si="3"/>
        <v>15</v>
      </c>
    </row>
    <row r="35" spans="1:26" x14ac:dyDescent="0.25">
      <c r="A35" s="81" t="s">
        <v>34</v>
      </c>
      <c r="B35" s="76"/>
      <c r="C35" s="76"/>
      <c r="D35" s="76"/>
      <c r="E35" s="77"/>
      <c r="F35" s="81" t="s">
        <v>33</v>
      </c>
      <c r="G35" s="76"/>
      <c r="H35" s="76"/>
      <c r="I35" s="77"/>
      <c r="J35" s="22"/>
      <c r="K35" s="82">
        <f t="shared" ca="1" si="0"/>
        <v>23704</v>
      </c>
      <c r="L35" s="77"/>
      <c r="M35" s="82">
        <f t="shared" ca="1" si="1"/>
        <v>547</v>
      </c>
      <c r="N35" s="76"/>
      <c r="O35" s="77"/>
      <c r="P35" s="82">
        <f t="shared" ca="1" si="2"/>
        <v>22642</v>
      </c>
      <c r="Q35" s="77"/>
      <c r="R35" s="21">
        <f t="shared" ca="1" si="3"/>
        <v>53</v>
      </c>
    </row>
    <row r="36" spans="1:26" x14ac:dyDescent="0.25">
      <c r="A36" s="81" t="s">
        <v>38</v>
      </c>
      <c r="B36" s="76"/>
      <c r="C36" s="76"/>
      <c r="D36" s="76"/>
      <c r="E36" s="77"/>
      <c r="F36" s="81" t="s">
        <v>37</v>
      </c>
      <c r="G36" s="76"/>
      <c r="H36" s="76"/>
      <c r="I36" s="77"/>
      <c r="J36" s="22"/>
      <c r="K36" s="82">
        <f t="shared" ca="1" si="0"/>
        <v>10466</v>
      </c>
      <c r="L36" s="77"/>
      <c r="M36" s="82">
        <f t="shared" ca="1" si="1"/>
        <v>3387</v>
      </c>
      <c r="N36" s="76"/>
      <c r="O36" s="77"/>
      <c r="P36" s="82">
        <f t="shared" ca="1" si="2"/>
        <v>14744</v>
      </c>
      <c r="Q36" s="77"/>
      <c r="R36" s="21">
        <f t="shared" ca="1" si="3"/>
        <v>31</v>
      </c>
    </row>
    <row r="37" spans="1:26" x14ac:dyDescent="0.25">
      <c r="A37" s="81" t="s">
        <v>78</v>
      </c>
      <c r="B37" s="76"/>
      <c r="C37" s="76"/>
      <c r="D37" s="76"/>
      <c r="E37" s="77"/>
      <c r="F37" s="81" t="s">
        <v>77</v>
      </c>
      <c r="G37" s="76"/>
      <c r="H37" s="76"/>
      <c r="I37" s="77"/>
      <c r="J37" s="22"/>
      <c r="K37" s="82">
        <f t="shared" ca="1" si="0"/>
        <v>17428</v>
      </c>
      <c r="L37" s="77"/>
      <c r="M37" s="82">
        <f t="shared" ca="1" si="1"/>
        <v>2756</v>
      </c>
      <c r="N37" s="76"/>
      <c r="O37" s="77"/>
      <c r="P37" s="82">
        <f t="shared" ca="1" si="2"/>
        <v>7867</v>
      </c>
      <c r="Q37" s="77"/>
      <c r="R37" s="21">
        <f t="shared" ca="1" si="3"/>
        <v>29</v>
      </c>
    </row>
    <row r="38" spans="1:26" x14ac:dyDescent="0.25">
      <c r="A38" s="81" t="s">
        <v>28</v>
      </c>
      <c r="B38" s="76"/>
      <c r="C38" s="76"/>
      <c r="D38" s="76"/>
      <c r="E38" s="77"/>
      <c r="F38" s="81" t="s">
        <v>27</v>
      </c>
      <c r="G38" s="76"/>
      <c r="H38" s="76"/>
      <c r="I38" s="77"/>
      <c r="J38" s="22"/>
      <c r="K38" s="82">
        <f t="shared" ca="1" si="0"/>
        <v>17984</v>
      </c>
      <c r="L38" s="77"/>
      <c r="M38" s="82">
        <f t="shared" ca="1" si="1"/>
        <v>430</v>
      </c>
      <c r="N38" s="76"/>
      <c r="O38" s="77"/>
      <c r="P38" s="82">
        <f t="shared" ca="1" si="2"/>
        <v>19847</v>
      </c>
      <c r="Q38" s="77"/>
      <c r="R38" s="21">
        <f t="shared" ca="1" si="3"/>
        <v>80</v>
      </c>
    </row>
    <row r="39" spans="1:26" x14ac:dyDescent="0.25">
      <c r="A39" s="75" t="s">
        <v>22</v>
      </c>
      <c r="B39" s="76"/>
      <c r="C39" s="76"/>
      <c r="D39" s="76"/>
      <c r="E39" s="76"/>
      <c r="F39" s="76"/>
      <c r="G39" s="76"/>
      <c r="H39" s="76"/>
      <c r="I39" s="77"/>
      <c r="J39" s="20"/>
      <c r="K39" s="78">
        <f ca="1">SUM(K18:L38)</f>
        <v>415640</v>
      </c>
      <c r="L39" s="77"/>
      <c r="M39" s="78">
        <f ca="1">SUM(M18:O38)</f>
        <v>67737</v>
      </c>
      <c r="N39" s="76"/>
      <c r="O39" s="77"/>
      <c r="P39" s="78">
        <f ca="1">SUM(P18:Q38)</f>
        <v>237770</v>
      </c>
      <c r="Q39" s="77"/>
      <c r="R39" s="19">
        <f ca="1">SUM(R18:R38)</f>
        <v>1032</v>
      </c>
    </row>
    <row r="40" spans="1:26" ht="27" customHeight="1" x14ac:dyDescent="0.25">
      <c r="A40" s="79" t="s">
        <v>21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</sheetData>
  <mergeCells count="141">
    <mergeCell ref="A1:N3"/>
    <mergeCell ref="U4:V4"/>
    <mergeCell ref="A5:H5"/>
    <mergeCell ref="I5:W5"/>
    <mergeCell ref="A6:H6"/>
    <mergeCell ref="I6:W6"/>
    <mergeCell ref="A7:H7"/>
    <mergeCell ref="I7:W7"/>
    <mergeCell ref="G8:H8"/>
    <mergeCell ref="I8:W8"/>
    <mergeCell ref="C9:H9"/>
    <mergeCell ref="I9:W9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17:E17"/>
    <mergeCell ref="F17:I17"/>
    <mergeCell ref="K17:L17"/>
    <mergeCell ref="M17:O17"/>
    <mergeCell ref="P17:Q17"/>
    <mergeCell ref="G13:H13"/>
    <mergeCell ref="I13:W13"/>
    <mergeCell ref="D14:G14"/>
    <mergeCell ref="H14:X14"/>
    <mergeCell ref="A15:H15"/>
    <mergeCell ref="A19:E19"/>
    <mergeCell ref="F19:I19"/>
    <mergeCell ref="K19:L19"/>
    <mergeCell ref="M19:O19"/>
    <mergeCell ref="P19:Q19"/>
    <mergeCell ref="A18:E18"/>
    <mergeCell ref="F18:I18"/>
    <mergeCell ref="K18:L18"/>
    <mergeCell ref="M18:O18"/>
    <mergeCell ref="P18:Q18"/>
    <mergeCell ref="A21:E21"/>
    <mergeCell ref="F21:I21"/>
    <mergeCell ref="K21:L21"/>
    <mergeCell ref="M21:O21"/>
    <mergeCell ref="P21:Q21"/>
    <mergeCell ref="A20:E20"/>
    <mergeCell ref="F20:I20"/>
    <mergeCell ref="K20:L20"/>
    <mergeCell ref="M20:O20"/>
    <mergeCell ref="P20:Q20"/>
    <mergeCell ref="A23:E23"/>
    <mergeCell ref="F23:I23"/>
    <mergeCell ref="K23:L23"/>
    <mergeCell ref="M23:O23"/>
    <mergeCell ref="P23:Q23"/>
    <mergeCell ref="A22:E22"/>
    <mergeCell ref="F22:I22"/>
    <mergeCell ref="K22:L22"/>
    <mergeCell ref="M22:O22"/>
    <mergeCell ref="P22:Q22"/>
    <mergeCell ref="A25:E25"/>
    <mergeCell ref="F25:I25"/>
    <mergeCell ref="K25:L25"/>
    <mergeCell ref="M25:O25"/>
    <mergeCell ref="P25:Q25"/>
    <mergeCell ref="A24:E24"/>
    <mergeCell ref="F24:I24"/>
    <mergeCell ref="K24:L24"/>
    <mergeCell ref="M24:O24"/>
    <mergeCell ref="P24:Q24"/>
    <mergeCell ref="A27:E27"/>
    <mergeCell ref="F27:I27"/>
    <mergeCell ref="K27:L27"/>
    <mergeCell ref="M27:O27"/>
    <mergeCell ref="P27:Q27"/>
    <mergeCell ref="A26:E26"/>
    <mergeCell ref="F26:I26"/>
    <mergeCell ref="K26:L26"/>
    <mergeCell ref="M26:O26"/>
    <mergeCell ref="P26:Q26"/>
    <mergeCell ref="A29:E29"/>
    <mergeCell ref="F29:I29"/>
    <mergeCell ref="K29:L29"/>
    <mergeCell ref="M29:O29"/>
    <mergeCell ref="P29:Q29"/>
    <mergeCell ref="A28:E28"/>
    <mergeCell ref="F28:I28"/>
    <mergeCell ref="K28:L28"/>
    <mergeCell ref="M28:O28"/>
    <mergeCell ref="P28:Q28"/>
    <mergeCell ref="A31:E31"/>
    <mergeCell ref="F31:I31"/>
    <mergeCell ref="K31:L31"/>
    <mergeCell ref="M31:O31"/>
    <mergeCell ref="P31:Q31"/>
    <mergeCell ref="A30:E30"/>
    <mergeCell ref="F30:I30"/>
    <mergeCell ref="K30:L30"/>
    <mergeCell ref="M30:O30"/>
    <mergeCell ref="P30:Q30"/>
    <mergeCell ref="A33:E33"/>
    <mergeCell ref="F33:I33"/>
    <mergeCell ref="K33:L33"/>
    <mergeCell ref="M33:O33"/>
    <mergeCell ref="P33:Q33"/>
    <mergeCell ref="A32:E32"/>
    <mergeCell ref="F32:I32"/>
    <mergeCell ref="K32:L32"/>
    <mergeCell ref="M32:O32"/>
    <mergeCell ref="P32:Q32"/>
    <mergeCell ref="A35:E35"/>
    <mergeCell ref="F35:I35"/>
    <mergeCell ref="K35:L35"/>
    <mergeCell ref="M35:O35"/>
    <mergeCell ref="P35:Q35"/>
    <mergeCell ref="A34:E34"/>
    <mergeCell ref="F34:I34"/>
    <mergeCell ref="K34:L34"/>
    <mergeCell ref="M34:O34"/>
    <mergeCell ref="P34:Q34"/>
    <mergeCell ref="A37:E37"/>
    <mergeCell ref="F37:I37"/>
    <mergeCell ref="K37:L37"/>
    <mergeCell ref="M37:O37"/>
    <mergeCell ref="P37:Q37"/>
    <mergeCell ref="A36:E36"/>
    <mergeCell ref="F36:I36"/>
    <mergeCell ref="K36:L36"/>
    <mergeCell ref="M36:O36"/>
    <mergeCell ref="P36:Q36"/>
    <mergeCell ref="A39:I39"/>
    <mergeCell ref="K39:L39"/>
    <mergeCell ref="M39:O39"/>
    <mergeCell ref="P39:Q39"/>
    <mergeCell ref="A40:Z40"/>
    <mergeCell ref="A38:E38"/>
    <mergeCell ref="F38:I38"/>
    <mergeCell ref="K38:L38"/>
    <mergeCell ref="M38:O38"/>
    <mergeCell ref="P38:Q38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20C7-6A2E-4C0E-BC46-0D3352C431A1}">
  <dimension ref="A1:AA47"/>
  <sheetViews>
    <sheetView showGridLines="0" workbookViewId="0">
      <pane ySplit="4" topLeftCell="A16" activePane="bottomLeft" state="frozen"/>
      <selection pane="bottomLeft" activeCell="J46" sqref="J18:J46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384964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90207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1354</v>
      </c>
    </row>
    <row r="4" spans="1:27" ht="12.2" customHeight="1" x14ac:dyDescent="0.25">
      <c r="U4" s="88">
        <v>45483.576883888898</v>
      </c>
      <c r="V4" s="80"/>
      <c r="AA4" s="17">
        <f ca="1">AA2-AA3</f>
        <v>88853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45383</v>
      </c>
      <c r="J15" s="80"/>
      <c r="K15" s="80"/>
      <c r="L15" s="84" t="s">
        <v>17</v>
      </c>
      <c r="M15" s="80"/>
      <c r="N15" s="85">
        <v>45412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44</v>
      </c>
      <c r="B18" s="76"/>
      <c r="C18" s="76"/>
      <c r="D18" s="76"/>
      <c r="E18" s="77"/>
      <c r="F18" s="81" t="s">
        <v>43</v>
      </c>
      <c r="G18" s="76"/>
      <c r="H18" s="76"/>
      <c r="I18" s="77"/>
      <c r="J18" s="22"/>
      <c r="K18" s="82">
        <f ca="1">RANDBETWEEN(0,32500)</f>
        <v>26814</v>
      </c>
      <c r="L18" s="77"/>
      <c r="M18" s="82">
        <f ca="1">RANDBETWEEN(0,7000)</f>
        <v>2421</v>
      </c>
      <c r="N18" s="76"/>
      <c r="O18" s="77"/>
      <c r="P18" s="82">
        <f ca="1">RANDBETWEEN(0,25000)</f>
        <v>7251</v>
      </c>
      <c r="Q18" s="77"/>
      <c r="R18" s="21">
        <f ca="1">RANDBETWEEN(0,100)</f>
        <v>15</v>
      </c>
    </row>
    <row r="19" spans="1:18" x14ac:dyDescent="0.25">
      <c r="A19" s="81" t="s">
        <v>26</v>
      </c>
      <c r="B19" s="76"/>
      <c r="C19" s="76"/>
      <c r="D19" s="76"/>
      <c r="E19" s="77"/>
      <c r="F19" s="81" t="s">
        <v>25</v>
      </c>
      <c r="G19" s="76"/>
      <c r="H19" s="76"/>
      <c r="I19" s="77"/>
      <c r="J19" s="22"/>
      <c r="K19" s="82">
        <f t="shared" ref="K19:K45" ca="1" si="0">RANDBETWEEN(0,32500)</f>
        <v>20457</v>
      </c>
      <c r="L19" s="77"/>
      <c r="M19" s="82">
        <f t="shared" ref="M19:M45" ca="1" si="1">RANDBETWEEN(0,7000)</f>
        <v>6164</v>
      </c>
      <c r="N19" s="76"/>
      <c r="O19" s="77"/>
      <c r="P19" s="82">
        <f t="shared" ref="P19:P45" ca="1" si="2">RANDBETWEEN(0,25000)</f>
        <v>19423</v>
      </c>
      <c r="Q19" s="77"/>
      <c r="R19" s="21">
        <f t="shared" ref="R19:R45" ca="1" si="3">RANDBETWEEN(0,100)</f>
        <v>66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10038</v>
      </c>
      <c r="L20" s="77"/>
      <c r="M20" s="82">
        <f t="shared" ca="1" si="1"/>
        <v>563</v>
      </c>
      <c r="N20" s="76"/>
      <c r="O20" s="77"/>
      <c r="P20" s="82">
        <f t="shared" ca="1" si="2"/>
        <v>13342</v>
      </c>
      <c r="Q20" s="77"/>
      <c r="R20" s="21">
        <f t="shared" ca="1" si="3"/>
        <v>13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22824</v>
      </c>
      <c r="L21" s="77"/>
      <c r="M21" s="82">
        <f t="shared" ca="1" si="1"/>
        <v>1134</v>
      </c>
      <c r="N21" s="76"/>
      <c r="O21" s="77"/>
      <c r="P21" s="82">
        <f t="shared" ca="1" si="2"/>
        <v>32</v>
      </c>
      <c r="Q21" s="77"/>
      <c r="R21" s="21">
        <f t="shared" ca="1" si="3"/>
        <v>31</v>
      </c>
    </row>
    <row r="22" spans="1:18" x14ac:dyDescent="0.25">
      <c r="A22" s="81" t="s">
        <v>30</v>
      </c>
      <c r="B22" s="76"/>
      <c r="C22" s="76"/>
      <c r="D22" s="76"/>
      <c r="E22" s="77"/>
      <c r="F22" s="81" t="s">
        <v>29</v>
      </c>
      <c r="G22" s="76"/>
      <c r="H22" s="76"/>
      <c r="I22" s="77"/>
      <c r="J22" s="22"/>
      <c r="K22" s="82">
        <f t="shared" ca="1" si="0"/>
        <v>11951</v>
      </c>
      <c r="L22" s="77"/>
      <c r="M22" s="82">
        <f t="shared" ca="1" si="1"/>
        <v>1178</v>
      </c>
      <c r="N22" s="76"/>
      <c r="O22" s="77"/>
      <c r="P22" s="82">
        <f t="shared" ca="1" si="2"/>
        <v>10632</v>
      </c>
      <c r="Q22" s="77"/>
      <c r="R22" s="21">
        <f t="shared" ca="1" si="3"/>
        <v>61</v>
      </c>
    </row>
    <row r="23" spans="1:18" x14ac:dyDescent="0.25">
      <c r="A23" s="81" t="s">
        <v>28</v>
      </c>
      <c r="B23" s="76"/>
      <c r="C23" s="76"/>
      <c r="D23" s="76"/>
      <c r="E23" s="77"/>
      <c r="F23" s="81" t="s">
        <v>27</v>
      </c>
      <c r="G23" s="76"/>
      <c r="H23" s="76"/>
      <c r="I23" s="77"/>
      <c r="J23" s="22"/>
      <c r="K23" s="82">
        <f t="shared" ca="1" si="0"/>
        <v>19710</v>
      </c>
      <c r="L23" s="77"/>
      <c r="M23" s="82">
        <f t="shared" ca="1" si="1"/>
        <v>5778</v>
      </c>
      <c r="N23" s="76"/>
      <c r="O23" s="77"/>
      <c r="P23" s="82">
        <f t="shared" ca="1" si="2"/>
        <v>10729</v>
      </c>
      <c r="Q23" s="77"/>
      <c r="R23" s="21">
        <f t="shared" ca="1" si="3"/>
        <v>42</v>
      </c>
    </row>
    <row r="24" spans="1:18" x14ac:dyDescent="0.25">
      <c r="A24" s="81" t="s">
        <v>26</v>
      </c>
      <c r="B24" s="76"/>
      <c r="C24" s="76"/>
      <c r="D24" s="76"/>
      <c r="E24" s="77"/>
      <c r="F24" s="81" t="s">
        <v>25</v>
      </c>
      <c r="G24" s="76"/>
      <c r="H24" s="76"/>
      <c r="I24" s="77"/>
      <c r="J24" s="22"/>
      <c r="K24" s="82">
        <f t="shared" ca="1" si="0"/>
        <v>5669</v>
      </c>
      <c r="L24" s="77"/>
      <c r="M24" s="82">
        <f t="shared" ca="1" si="1"/>
        <v>2461</v>
      </c>
      <c r="N24" s="76"/>
      <c r="O24" s="77"/>
      <c r="P24" s="82">
        <f t="shared" ca="1" si="2"/>
        <v>22658</v>
      </c>
      <c r="Q24" s="77"/>
      <c r="R24" s="21">
        <f t="shared" ca="1" si="3"/>
        <v>100</v>
      </c>
    </row>
    <row r="25" spans="1:18" x14ac:dyDescent="0.25">
      <c r="A25" s="81" t="s">
        <v>40</v>
      </c>
      <c r="B25" s="76"/>
      <c r="C25" s="76"/>
      <c r="D25" s="76"/>
      <c r="E25" s="77"/>
      <c r="F25" s="81" t="s">
        <v>39</v>
      </c>
      <c r="G25" s="76"/>
      <c r="H25" s="76"/>
      <c r="I25" s="77"/>
      <c r="J25" s="22"/>
      <c r="K25" s="82">
        <f t="shared" ca="1" si="0"/>
        <v>8077</v>
      </c>
      <c r="L25" s="77"/>
      <c r="M25" s="82">
        <f t="shared" ca="1" si="1"/>
        <v>6403</v>
      </c>
      <c r="N25" s="76"/>
      <c r="O25" s="77"/>
      <c r="P25" s="82">
        <f t="shared" ca="1" si="2"/>
        <v>16125</v>
      </c>
      <c r="Q25" s="77"/>
      <c r="R25" s="21">
        <f t="shared" ca="1" si="3"/>
        <v>93</v>
      </c>
    </row>
    <row r="26" spans="1:18" x14ac:dyDescent="0.25">
      <c r="A26" s="81" t="s">
        <v>32</v>
      </c>
      <c r="B26" s="76"/>
      <c r="C26" s="76"/>
      <c r="D26" s="76"/>
      <c r="E26" s="77"/>
      <c r="F26" s="81" t="s">
        <v>31</v>
      </c>
      <c r="G26" s="76"/>
      <c r="H26" s="76"/>
      <c r="I26" s="77"/>
      <c r="J26" s="22"/>
      <c r="K26" s="82">
        <f t="shared" ca="1" si="0"/>
        <v>5954</v>
      </c>
      <c r="L26" s="77"/>
      <c r="M26" s="82">
        <f t="shared" ca="1" si="1"/>
        <v>3383</v>
      </c>
      <c r="N26" s="76"/>
      <c r="O26" s="77"/>
      <c r="P26" s="82">
        <f t="shared" ca="1" si="2"/>
        <v>20777</v>
      </c>
      <c r="Q26" s="77"/>
      <c r="R26" s="21">
        <f t="shared" ca="1" si="3"/>
        <v>73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24063</v>
      </c>
      <c r="L27" s="77"/>
      <c r="M27" s="82">
        <f t="shared" ca="1" si="1"/>
        <v>984</v>
      </c>
      <c r="N27" s="76"/>
      <c r="O27" s="77"/>
      <c r="P27" s="82">
        <f t="shared" ca="1" si="2"/>
        <v>14349</v>
      </c>
      <c r="Q27" s="77"/>
      <c r="R27" s="21">
        <f t="shared" ca="1" si="3"/>
        <v>50</v>
      </c>
    </row>
    <row r="28" spans="1:18" x14ac:dyDescent="0.25">
      <c r="A28" s="81" t="s">
        <v>44</v>
      </c>
      <c r="B28" s="76"/>
      <c r="C28" s="76"/>
      <c r="D28" s="76"/>
      <c r="E28" s="77"/>
      <c r="F28" s="81" t="s">
        <v>43</v>
      </c>
      <c r="G28" s="76"/>
      <c r="H28" s="76"/>
      <c r="I28" s="77"/>
      <c r="J28" s="22"/>
      <c r="K28" s="82">
        <f t="shared" ca="1" si="0"/>
        <v>3798</v>
      </c>
      <c r="L28" s="77"/>
      <c r="M28" s="82">
        <f t="shared" ca="1" si="1"/>
        <v>4254</v>
      </c>
      <c r="N28" s="76"/>
      <c r="O28" s="77"/>
      <c r="P28" s="82">
        <f t="shared" ca="1" si="2"/>
        <v>659</v>
      </c>
      <c r="Q28" s="77"/>
      <c r="R28" s="21">
        <f t="shared" ca="1" si="3"/>
        <v>18</v>
      </c>
    </row>
    <row r="29" spans="1:18" x14ac:dyDescent="0.25">
      <c r="A29" s="81" t="s">
        <v>42</v>
      </c>
      <c r="B29" s="76"/>
      <c r="C29" s="76"/>
      <c r="D29" s="76"/>
      <c r="E29" s="77"/>
      <c r="F29" s="81" t="s">
        <v>41</v>
      </c>
      <c r="G29" s="76"/>
      <c r="H29" s="76"/>
      <c r="I29" s="77"/>
      <c r="J29" s="22"/>
      <c r="K29" s="82">
        <f t="shared" ca="1" si="0"/>
        <v>8024</v>
      </c>
      <c r="L29" s="77"/>
      <c r="M29" s="82">
        <f t="shared" ca="1" si="1"/>
        <v>1924</v>
      </c>
      <c r="N29" s="76"/>
      <c r="O29" s="77"/>
      <c r="P29" s="82">
        <f t="shared" ca="1" si="2"/>
        <v>10627</v>
      </c>
      <c r="Q29" s="77"/>
      <c r="R29" s="21">
        <f t="shared" ca="1" si="3"/>
        <v>94</v>
      </c>
    </row>
    <row r="30" spans="1:18" x14ac:dyDescent="0.25">
      <c r="A30" s="81" t="s">
        <v>26</v>
      </c>
      <c r="B30" s="76"/>
      <c r="C30" s="76"/>
      <c r="D30" s="76"/>
      <c r="E30" s="77"/>
      <c r="F30" s="81" t="s">
        <v>25</v>
      </c>
      <c r="G30" s="76"/>
      <c r="H30" s="76"/>
      <c r="I30" s="77"/>
      <c r="J30" s="22"/>
      <c r="K30" s="82">
        <f t="shared" ca="1" si="0"/>
        <v>18021</v>
      </c>
      <c r="L30" s="77"/>
      <c r="M30" s="82">
        <f t="shared" ca="1" si="1"/>
        <v>6122</v>
      </c>
      <c r="N30" s="76"/>
      <c r="O30" s="77"/>
      <c r="P30" s="82">
        <f t="shared" ca="1" si="2"/>
        <v>16581</v>
      </c>
      <c r="Q30" s="77"/>
      <c r="R30" s="21">
        <f t="shared" ca="1" si="3"/>
        <v>51</v>
      </c>
    </row>
    <row r="31" spans="1:18" x14ac:dyDescent="0.25">
      <c r="A31" s="81" t="s">
        <v>34</v>
      </c>
      <c r="B31" s="76"/>
      <c r="C31" s="76"/>
      <c r="D31" s="76"/>
      <c r="E31" s="77"/>
      <c r="F31" s="81" t="s">
        <v>33</v>
      </c>
      <c r="G31" s="76"/>
      <c r="H31" s="76"/>
      <c r="I31" s="77"/>
      <c r="J31" s="22"/>
      <c r="K31" s="82">
        <f t="shared" ca="1" si="0"/>
        <v>17268</v>
      </c>
      <c r="L31" s="77"/>
      <c r="M31" s="82">
        <f t="shared" ca="1" si="1"/>
        <v>2673</v>
      </c>
      <c r="N31" s="76"/>
      <c r="O31" s="77"/>
      <c r="P31" s="82">
        <f t="shared" ca="1" si="2"/>
        <v>18466</v>
      </c>
      <c r="Q31" s="77"/>
      <c r="R31" s="21">
        <f t="shared" ca="1" si="3"/>
        <v>59</v>
      </c>
    </row>
    <row r="32" spans="1:18" x14ac:dyDescent="0.25">
      <c r="A32" s="81" t="s">
        <v>24</v>
      </c>
      <c r="B32" s="76"/>
      <c r="C32" s="76"/>
      <c r="D32" s="76"/>
      <c r="E32" s="77"/>
      <c r="F32" s="81" t="s">
        <v>23</v>
      </c>
      <c r="G32" s="76"/>
      <c r="H32" s="76"/>
      <c r="I32" s="77"/>
      <c r="J32" s="22"/>
      <c r="K32" s="82">
        <f t="shared" ca="1" si="0"/>
        <v>8041</v>
      </c>
      <c r="L32" s="77"/>
      <c r="M32" s="82">
        <f t="shared" ca="1" si="1"/>
        <v>1851</v>
      </c>
      <c r="N32" s="76"/>
      <c r="O32" s="77"/>
      <c r="P32" s="82">
        <f t="shared" ca="1" si="2"/>
        <v>21898</v>
      </c>
      <c r="Q32" s="77"/>
      <c r="R32" s="21">
        <f t="shared" ca="1" si="3"/>
        <v>24</v>
      </c>
    </row>
    <row r="33" spans="1:26" x14ac:dyDescent="0.25">
      <c r="A33" s="81" t="s">
        <v>32</v>
      </c>
      <c r="B33" s="76"/>
      <c r="C33" s="76"/>
      <c r="D33" s="76"/>
      <c r="E33" s="77"/>
      <c r="F33" s="81" t="s">
        <v>31</v>
      </c>
      <c r="G33" s="76"/>
      <c r="H33" s="76"/>
      <c r="I33" s="77"/>
      <c r="J33" s="22"/>
      <c r="K33" s="82">
        <f t="shared" ca="1" si="0"/>
        <v>18000</v>
      </c>
      <c r="L33" s="77"/>
      <c r="M33" s="82">
        <f t="shared" ca="1" si="1"/>
        <v>1507</v>
      </c>
      <c r="N33" s="76"/>
      <c r="O33" s="77"/>
      <c r="P33" s="82">
        <f t="shared" ca="1" si="2"/>
        <v>16895</v>
      </c>
      <c r="Q33" s="77"/>
      <c r="R33" s="21">
        <f t="shared" ca="1" si="3"/>
        <v>15</v>
      </c>
    </row>
    <row r="34" spans="1:26" x14ac:dyDescent="0.25">
      <c r="A34" s="81" t="s">
        <v>26</v>
      </c>
      <c r="B34" s="76"/>
      <c r="C34" s="76"/>
      <c r="D34" s="76"/>
      <c r="E34" s="77"/>
      <c r="F34" s="81" t="s">
        <v>25</v>
      </c>
      <c r="G34" s="76"/>
      <c r="H34" s="76"/>
      <c r="I34" s="77"/>
      <c r="J34" s="22"/>
      <c r="K34" s="82">
        <f t="shared" ca="1" si="0"/>
        <v>1413</v>
      </c>
      <c r="L34" s="77"/>
      <c r="M34" s="82">
        <f t="shared" ca="1" si="1"/>
        <v>1592</v>
      </c>
      <c r="N34" s="76"/>
      <c r="O34" s="77"/>
      <c r="P34" s="82">
        <f t="shared" ca="1" si="2"/>
        <v>10120</v>
      </c>
      <c r="Q34" s="77"/>
      <c r="R34" s="21">
        <f t="shared" ca="1" si="3"/>
        <v>1</v>
      </c>
    </row>
    <row r="35" spans="1:26" x14ac:dyDescent="0.25">
      <c r="A35" s="81" t="s">
        <v>40</v>
      </c>
      <c r="B35" s="76"/>
      <c r="C35" s="76"/>
      <c r="D35" s="76"/>
      <c r="E35" s="77"/>
      <c r="F35" s="81" t="s">
        <v>39</v>
      </c>
      <c r="G35" s="76"/>
      <c r="H35" s="76"/>
      <c r="I35" s="77"/>
      <c r="J35" s="22"/>
      <c r="K35" s="82">
        <f t="shared" ca="1" si="0"/>
        <v>30248</v>
      </c>
      <c r="L35" s="77"/>
      <c r="M35" s="82">
        <f t="shared" ca="1" si="1"/>
        <v>5130</v>
      </c>
      <c r="N35" s="76"/>
      <c r="O35" s="77"/>
      <c r="P35" s="82">
        <f t="shared" ca="1" si="2"/>
        <v>14580</v>
      </c>
      <c r="Q35" s="77"/>
      <c r="R35" s="21">
        <f t="shared" ca="1" si="3"/>
        <v>18</v>
      </c>
    </row>
    <row r="36" spans="1:26" x14ac:dyDescent="0.25">
      <c r="A36" s="81" t="s">
        <v>26</v>
      </c>
      <c r="B36" s="76"/>
      <c r="C36" s="76"/>
      <c r="D36" s="76"/>
      <c r="E36" s="77"/>
      <c r="F36" s="81" t="s">
        <v>25</v>
      </c>
      <c r="G36" s="76"/>
      <c r="H36" s="76"/>
      <c r="I36" s="77"/>
      <c r="J36" s="22"/>
      <c r="K36" s="82">
        <f t="shared" ca="1" si="0"/>
        <v>9364</v>
      </c>
      <c r="L36" s="77"/>
      <c r="M36" s="82">
        <f t="shared" ca="1" si="1"/>
        <v>5821</v>
      </c>
      <c r="N36" s="76"/>
      <c r="O36" s="77"/>
      <c r="P36" s="82">
        <f t="shared" ca="1" si="2"/>
        <v>12227</v>
      </c>
      <c r="Q36" s="77"/>
      <c r="R36" s="21">
        <f t="shared" ca="1" si="3"/>
        <v>70</v>
      </c>
    </row>
    <row r="37" spans="1:26" x14ac:dyDescent="0.25">
      <c r="A37" s="81" t="s">
        <v>30</v>
      </c>
      <c r="B37" s="76"/>
      <c r="C37" s="76"/>
      <c r="D37" s="76"/>
      <c r="E37" s="77"/>
      <c r="F37" s="81" t="s">
        <v>29</v>
      </c>
      <c r="G37" s="76"/>
      <c r="H37" s="76"/>
      <c r="I37" s="77"/>
      <c r="J37" s="22"/>
      <c r="K37" s="82">
        <f t="shared" ca="1" si="0"/>
        <v>12422</v>
      </c>
      <c r="L37" s="77"/>
      <c r="M37" s="82">
        <f t="shared" ca="1" si="1"/>
        <v>402</v>
      </c>
      <c r="N37" s="76"/>
      <c r="O37" s="77"/>
      <c r="P37" s="82">
        <f t="shared" ca="1" si="2"/>
        <v>15372</v>
      </c>
      <c r="Q37" s="77"/>
      <c r="R37" s="21">
        <f t="shared" ca="1" si="3"/>
        <v>76</v>
      </c>
    </row>
    <row r="38" spans="1:26" x14ac:dyDescent="0.25">
      <c r="A38" s="81" t="s">
        <v>28</v>
      </c>
      <c r="B38" s="76"/>
      <c r="C38" s="76"/>
      <c r="D38" s="76"/>
      <c r="E38" s="77"/>
      <c r="F38" s="81" t="s">
        <v>27</v>
      </c>
      <c r="G38" s="76"/>
      <c r="H38" s="76"/>
      <c r="I38" s="77"/>
      <c r="J38" s="22"/>
      <c r="K38" s="82">
        <f t="shared" ca="1" si="0"/>
        <v>11142</v>
      </c>
      <c r="L38" s="77"/>
      <c r="M38" s="82">
        <f t="shared" ca="1" si="1"/>
        <v>6880</v>
      </c>
      <c r="N38" s="76"/>
      <c r="O38" s="77"/>
      <c r="P38" s="82">
        <f t="shared" ca="1" si="2"/>
        <v>545</v>
      </c>
      <c r="Q38" s="77"/>
      <c r="R38" s="21">
        <f t="shared" ca="1" si="3"/>
        <v>9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23903</v>
      </c>
      <c r="L39" s="77"/>
      <c r="M39" s="82">
        <f t="shared" ca="1" si="1"/>
        <v>5754</v>
      </c>
      <c r="N39" s="76"/>
      <c r="O39" s="77"/>
      <c r="P39" s="82">
        <f t="shared" ca="1" si="2"/>
        <v>3253</v>
      </c>
      <c r="Q39" s="77"/>
      <c r="R39" s="21">
        <f t="shared" ca="1" si="3"/>
        <v>50</v>
      </c>
    </row>
    <row r="40" spans="1:26" x14ac:dyDescent="0.25">
      <c r="A40" s="81" t="s">
        <v>84</v>
      </c>
      <c r="B40" s="76"/>
      <c r="C40" s="76"/>
      <c r="D40" s="76"/>
      <c r="E40" s="77"/>
      <c r="F40" s="81" t="s">
        <v>83</v>
      </c>
      <c r="G40" s="76"/>
      <c r="H40" s="76"/>
      <c r="I40" s="77"/>
      <c r="J40" s="22"/>
      <c r="K40" s="82">
        <f t="shared" ca="1" si="0"/>
        <v>12139</v>
      </c>
      <c r="L40" s="77"/>
      <c r="M40" s="82">
        <f t="shared" ca="1" si="1"/>
        <v>992</v>
      </c>
      <c r="N40" s="76"/>
      <c r="O40" s="77"/>
      <c r="P40" s="82">
        <f t="shared" ca="1" si="2"/>
        <v>21584</v>
      </c>
      <c r="Q40" s="77"/>
      <c r="R40" s="21">
        <f t="shared" ca="1" si="3"/>
        <v>71</v>
      </c>
    </row>
    <row r="41" spans="1:26" x14ac:dyDescent="0.25">
      <c r="A41" s="81" t="s">
        <v>82</v>
      </c>
      <c r="B41" s="76"/>
      <c r="C41" s="76"/>
      <c r="D41" s="76"/>
      <c r="E41" s="77"/>
      <c r="F41" s="81" t="s">
        <v>81</v>
      </c>
      <c r="G41" s="76"/>
      <c r="H41" s="76"/>
      <c r="I41" s="77"/>
      <c r="J41" s="22"/>
      <c r="K41" s="82">
        <f t="shared" ca="1" si="0"/>
        <v>526</v>
      </c>
      <c r="L41" s="77"/>
      <c r="M41" s="82">
        <f t="shared" ca="1" si="1"/>
        <v>5434</v>
      </c>
      <c r="N41" s="76"/>
      <c r="O41" s="77"/>
      <c r="P41" s="82">
        <f t="shared" ca="1" si="2"/>
        <v>10882</v>
      </c>
      <c r="Q41" s="77"/>
      <c r="R41" s="21">
        <f t="shared" ca="1" si="3"/>
        <v>100</v>
      </c>
    </row>
    <row r="42" spans="1:26" x14ac:dyDescent="0.25">
      <c r="A42" s="81" t="s">
        <v>80</v>
      </c>
      <c r="B42" s="76"/>
      <c r="C42" s="76"/>
      <c r="D42" s="76"/>
      <c r="E42" s="77"/>
      <c r="F42" s="81" t="s">
        <v>79</v>
      </c>
      <c r="G42" s="76"/>
      <c r="H42" s="76"/>
      <c r="I42" s="77"/>
      <c r="J42" s="22"/>
      <c r="K42" s="82">
        <f t="shared" ca="1" si="0"/>
        <v>215</v>
      </c>
      <c r="L42" s="77"/>
      <c r="M42" s="82">
        <f t="shared" ca="1" si="1"/>
        <v>1280</v>
      </c>
      <c r="N42" s="76"/>
      <c r="O42" s="77"/>
      <c r="P42" s="82">
        <f t="shared" ca="1" si="2"/>
        <v>23940</v>
      </c>
      <c r="Q42" s="77"/>
      <c r="R42" s="21">
        <f t="shared" ca="1" si="3"/>
        <v>47</v>
      </c>
    </row>
    <row r="43" spans="1:26" x14ac:dyDescent="0.25">
      <c r="A43" s="81" t="s">
        <v>34</v>
      </c>
      <c r="B43" s="76"/>
      <c r="C43" s="76"/>
      <c r="D43" s="76"/>
      <c r="E43" s="77"/>
      <c r="F43" s="81" t="s">
        <v>33</v>
      </c>
      <c r="G43" s="76"/>
      <c r="H43" s="76"/>
      <c r="I43" s="77"/>
      <c r="J43" s="22"/>
      <c r="K43" s="82">
        <f t="shared" ca="1" si="0"/>
        <v>14977</v>
      </c>
      <c r="L43" s="77"/>
      <c r="M43" s="82">
        <f t="shared" ca="1" si="1"/>
        <v>2889</v>
      </c>
      <c r="N43" s="76"/>
      <c r="O43" s="77"/>
      <c r="P43" s="82">
        <f t="shared" ca="1" si="2"/>
        <v>7495</v>
      </c>
      <c r="Q43" s="77"/>
      <c r="R43" s="21">
        <f t="shared" ca="1" si="3"/>
        <v>23</v>
      </c>
    </row>
    <row r="44" spans="1:26" x14ac:dyDescent="0.25">
      <c r="A44" s="81" t="s">
        <v>86</v>
      </c>
      <c r="B44" s="76"/>
      <c r="C44" s="76"/>
      <c r="D44" s="76"/>
      <c r="E44" s="77"/>
      <c r="F44" s="81" t="s">
        <v>85</v>
      </c>
      <c r="G44" s="76"/>
      <c r="H44" s="76"/>
      <c r="I44" s="77"/>
      <c r="J44" s="22"/>
      <c r="K44" s="82">
        <f t="shared" ca="1" si="0"/>
        <v>8219</v>
      </c>
      <c r="L44" s="77"/>
      <c r="M44" s="82">
        <f t="shared" ca="1" si="1"/>
        <v>4953</v>
      </c>
      <c r="N44" s="76"/>
      <c r="O44" s="77"/>
      <c r="P44" s="82">
        <f t="shared" ca="1" si="2"/>
        <v>19918</v>
      </c>
      <c r="Q44" s="77"/>
      <c r="R44" s="21">
        <f t="shared" ca="1" si="3"/>
        <v>68</v>
      </c>
    </row>
    <row r="45" spans="1:26" x14ac:dyDescent="0.25">
      <c r="A45" s="81" t="s">
        <v>38</v>
      </c>
      <c r="B45" s="76"/>
      <c r="C45" s="76"/>
      <c r="D45" s="76"/>
      <c r="E45" s="77"/>
      <c r="F45" s="81" t="s">
        <v>37</v>
      </c>
      <c r="G45" s="76"/>
      <c r="H45" s="76"/>
      <c r="I45" s="77"/>
      <c r="J45" s="22"/>
      <c r="K45" s="82">
        <f t="shared" ca="1" si="0"/>
        <v>31687</v>
      </c>
      <c r="L45" s="77"/>
      <c r="M45" s="82">
        <f t="shared" ca="1" si="1"/>
        <v>280</v>
      </c>
      <c r="N45" s="76"/>
      <c r="O45" s="77"/>
      <c r="P45" s="82">
        <f t="shared" ca="1" si="2"/>
        <v>7110</v>
      </c>
      <c r="Q45" s="77"/>
      <c r="R45" s="21">
        <f t="shared" ca="1" si="3"/>
        <v>16</v>
      </c>
    </row>
    <row r="46" spans="1:26" x14ac:dyDescent="0.25">
      <c r="A46" s="75" t="s">
        <v>22</v>
      </c>
      <c r="B46" s="76"/>
      <c r="C46" s="76"/>
      <c r="D46" s="76"/>
      <c r="E46" s="76"/>
      <c r="F46" s="76"/>
      <c r="G46" s="76"/>
      <c r="H46" s="76"/>
      <c r="I46" s="77"/>
      <c r="J46" s="20"/>
      <c r="K46" s="78">
        <f ca="1">SUM(K18:L45)</f>
        <v>384964</v>
      </c>
      <c r="L46" s="77"/>
      <c r="M46" s="78">
        <f ca="1">SUM(M18:O45)</f>
        <v>90207</v>
      </c>
      <c r="N46" s="76"/>
      <c r="O46" s="77"/>
      <c r="P46" s="78">
        <f ca="1">SUM(P18:Q45)</f>
        <v>367470</v>
      </c>
      <c r="Q46" s="77"/>
      <c r="R46" s="19">
        <f ca="1">SUM(R18:R45)</f>
        <v>1354</v>
      </c>
    </row>
    <row r="47" spans="1:26" ht="27" customHeight="1" x14ac:dyDescent="0.25">
      <c r="A47" s="79" t="s">
        <v>21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</sheetData>
  <mergeCells count="176">
    <mergeCell ref="A46:I46"/>
    <mergeCell ref="K46:L46"/>
    <mergeCell ref="M46:O46"/>
    <mergeCell ref="P46:Q46"/>
    <mergeCell ref="A47:Z47"/>
    <mergeCell ref="A45:E45"/>
    <mergeCell ref="F45:I45"/>
    <mergeCell ref="K45:L45"/>
    <mergeCell ref="M45:O45"/>
    <mergeCell ref="P45:Q45"/>
    <mergeCell ref="A44:E44"/>
    <mergeCell ref="F44:I44"/>
    <mergeCell ref="K44:L44"/>
    <mergeCell ref="M44:O44"/>
    <mergeCell ref="P44:Q44"/>
    <mergeCell ref="A43:E43"/>
    <mergeCell ref="F43:I43"/>
    <mergeCell ref="K43:L43"/>
    <mergeCell ref="M43:O43"/>
    <mergeCell ref="P43:Q43"/>
    <mergeCell ref="A42:E42"/>
    <mergeCell ref="F42:I42"/>
    <mergeCell ref="K42:L42"/>
    <mergeCell ref="M42:O42"/>
    <mergeCell ref="P42:Q42"/>
    <mergeCell ref="A41:E41"/>
    <mergeCell ref="F41:I41"/>
    <mergeCell ref="K41:L41"/>
    <mergeCell ref="M41:O41"/>
    <mergeCell ref="P41:Q41"/>
    <mergeCell ref="A40:E40"/>
    <mergeCell ref="F40:I40"/>
    <mergeCell ref="K40:L40"/>
    <mergeCell ref="M40:O40"/>
    <mergeCell ref="P40:Q40"/>
    <mergeCell ref="A39:E39"/>
    <mergeCell ref="F39:I39"/>
    <mergeCell ref="K39:L39"/>
    <mergeCell ref="M39:O39"/>
    <mergeCell ref="P39:Q39"/>
    <mergeCell ref="A38:E38"/>
    <mergeCell ref="F38:I38"/>
    <mergeCell ref="K38:L38"/>
    <mergeCell ref="M38:O38"/>
    <mergeCell ref="P38:Q38"/>
    <mergeCell ref="A37:E37"/>
    <mergeCell ref="F37:I37"/>
    <mergeCell ref="K37:L37"/>
    <mergeCell ref="M37:O37"/>
    <mergeCell ref="P37:Q37"/>
    <mergeCell ref="A36:E36"/>
    <mergeCell ref="F36:I36"/>
    <mergeCell ref="K36:L36"/>
    <mergeCell ref="M36:O36"/>
    <mergeCell ref="P36:Q36"/>
    <mergeCell ref="A35:E35"/>
    <mergeCell ref="F35:I35"/>
    <mergeCell ref="K35:L35"/>
    <mergeCell ref="M35:O35"/>
    <mergeCell ref="P35:Q35"/>
    <mergeCell ref="A34:E34"/>
    <mergeCell ref="F34:I34"/>
    <mergeCell ref="K34:L34"/>
    <mergeCell ref="M34:O34"/>
    <mergeCell ref="P34:Q34"/>
    <mergeCell ref="A33:E33"/>
    <mergeCell ref="F33:I33"/>
    <mergeCell ref="K33:L33"/>
    <mergeCell ref="M33:O33"/>
    <mergeCell ref="P33:Q33"/>
    <mergeCell ref="A32:E32"/>
    <mergeCell ref="F32:I32"/>
    <mergeCell ref="K32:L32"/>
    <mergeCell ref="M32:O32"/>
    <mergeCell ref="P32:Q32"/>
    <mergeCell ref="A31:E31"/>
    <mergeCell ref="F31:I31"/>
    <mergeCell ref="K31:L31"/>
    <mergeCell ref="M31:O31"/>
    <mergeCell ref="P31:Q31"/>
    <mergeCell ref="A30:E30"/>
    <mergeCell ref="F30:I30"/>
    <mergeCell ref="K30:L30"/>
    <mergeCell ref="M30:O30"/>
    <mergeCell ref="P30:Q30"/>
    <mergeCell ref="A29:E29"/>
    <mergeCell ref="F29:I29"/>
    <mergeCell ref="K29:L29"/>
    <mergeCell ref="M29:O29"/>
    <mergeCell ref="P29:Q29"/>
    <mergeCell ref="A28:E28"/>
    <mergeCell ref="F28:I28"/>
    <mergeCell ref="K28:L28"/>
    <mergeCell ref="M28:O28"/>
    <mergeCell ref="P28:Q28"/>
    <mergeCell ref="A27:E27"/>
    <mergeCell ref="F27:I27"/>
    <mergeCell ref="K27:L27"/>
    <mergeCell ref="M27:O27"/>
    <mergeCell ref="P27:Q27"/>
    <mergeCell ref="A26:E26"/>
    <mergeCell ref="F26:I26"/>
    <mergeCell ref="K26:L26"/>
    <mergeCell ref="M26:O26"/>
    <mergeCell ref="P26:Q26"/>
    <mergeCell ref="A25:E25"/>
    <mergeCell ref="F25:I25"/>
    <mergeCell ref="K25:L25"/>
    <mergeCell ref="M25:O25"/>
    <mergeCell ref="P25:Q25"/>
    <mergeCell ref="A24:E24"/>
    <mergeCell ref="F24:I24"/>
    <mergeCell ref="K24:L24"/>
    <mergeCell ref="M24:O24"/>
    <mergeCell ref="P24:Q24"/>
    <mergeCell ref="A23:E23"/>
    <mergeCell ref="F23:I23"/>
    <mergeCell ref="K23:L23"/>
    <mergeCell ref="M23:O23"/>
    <mergeCell ref="P23:Q23"/>
    <mergeCell ref="A22:E22"/>
    <mergeCell ref="F22:I22"/>
    <mergeCell ref="K22:L22"/>
    <mergeCell ref="M22:O22"/>
    <mergeCell ref="P22:Q22"/>
    <mergeCell ref="A21:E21"/>
    <mergeCell ref="F21:I21"/>
    <mergeCell ref="K21:L21"/>
    <mergeCell ref="M21:O21"/>
    <mergeCell ref="P21:Q21"/>
    <mergeCell ref="A20:E20"/>
    <mergeCell ref="F20:I20"/>
    <mergeCell ref="K20:L20"/>
    <mergeCell ref="M20:O20"/>
    <mergeCell ref="P20:Q20"/>
    <mergeCell ref="A19:E19"/>
    <mergeCell ref="F19:I19"/>
    <mergeCell ref="K19:L19"/>
    <mergeCell ref="M19:O19"/>
    <mergeCell ref="P19:Q19"/>
    <mergeCell ref="D14:G14"/>
    <mergeCell ref="H14:X14"/>
    <mergeCell ref="A15:H15"/>
    <mergeCell ref="I15:K15"/>
    <mergeCell ref="L15:M15"/>
    <mergeCell ref="N15:P15"/>
    <mergeCell ref="A18:E18"/>
    <mergeCell ref="F18:I18"/>
    <mergeCell ref="K18:L18"/>
    <mergeCell ref="M18:O18"/>
    <mergeCell ref="P18:Q18"/>
    <mergeCell ref="A17:E17"/>
    <mergeCell ref="F17:I17"/>
    <mergeCell ref="K17:L17"/>
    <mergeCell ref="M17:O17"/>
    <mergeCell ref="P17:Q17"/>
    <mergeCell ref="C9:H9"/>
    <mergeCell ref="I9:W9"/>
    <mergeCell ref="C10:H10"/>
    <mergeCell ref="I10:W10"/>
    <mergeCell ref="B11:H11"/>
    <mergeCell ref="I11:W11"/>
    <mergeCell ref="E12:H12"/>
    <mergeCell ref="I12:Y12"/>
    <mergeCell ref="G13:H13"/>
    <mergeCell ref="I13:W13"/>
    <mergeCell ref="A1:N3"/>
    <mergeCell ref="U4:V4"/>
    <mergeCell ref="A5:H5"/>
    <mergeCell ref="I5:W5"/>
    <mergeCell ref="A6:H6"/>
    <mergeCell ref="I6:W6"/>
    <mergeCell ref="A7:H7"/>
    <mergeCell ref="I7:W7"/>
    <mergeCell ref="G8:H8"/>
    <mergeCell ref="I8:W8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CB28-CAC2-4FFE-90DD-4F8A2499CFBA}">
  <dimension ref="A1:AA43"/>
  <sheetViews>
    <sheetView showGridLines="0" workbookViewId="0">
      <pane ySplit="4" topLeftCell="A14" activePane="bottomLeft" state="frozen"/>
      <selection pane="bottomLeft" activeCell="J42" sqref="J18:J42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393418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81422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1196</v>
      </c>
    </row>
    <row r="4" spans="1:27" ht="12.2" customHeight="1" x14ac:dyDescent="0.25">
      <c r="U4" s="88">
        <v>45483.5772846412</v>
      </c>
      <c r="V4" s="80"/>
      <c r="AA4" s="17">
        <f ca="1">AA2-AA3</f>
        <v>80226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45413</v>
      </c>
      <c r="J15" s="80"/>
      <c r="K15" s="80"/>
      <c r="L15" s="84" t="s">
        <v>17</v>
      </c>
      <c r="M15" s="80"/>
      <c r="N15" s="85">
        <v>45443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24713</v>
      </c>
      <c r="L18" s="77"/>
      <c r="M18" s="82">
        <f ca="1">RANDBETWEEN(0,7000)</f>
        <v>6634</v>
      </c>
      <c r="N18" s="76"/>
      <c r="O18" s="77"/>
      <c r="P18" s="82">
        <f ca="1">RANDBETWEEN(0,25000)</f>
        <v>8032</v>
      </c>
      <c r="Q18" s="77"/>
      <c r="R18" s="21">
        <f ca="1">RANDBETWEEN(0,100)</f>
        <v>10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41" ca="1" si="0">RANDBETWEEN(0,32500)</f>
        <v>29028</v>
      </c>
      <c r="L19" s="77"/>
      <c r="M19" s="82">
        <f t="shared" ref="M19:M41" ca="1" si="1">RANDBETWEEN(0,7000)</f>
        <v>5413</v>
      </c>
      <c r="N19" s="76"/>
      <c r="O19" s="77"/>
      <c r="P19" s="82">
        <f t="shared" ref="P19:P41" ca="1" si="2">RANDBETWEEN(0,25000)</f>
        <v>13872</v>
      </c>
      <c r="Q19" s="77"/>
      <c r="R19" s="21">
        <f t="shared" ref="R19:R41" ca="1" si="3">RANDBETWEEN(0,100)</f>
        <v>29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6356</v>
      </c>
      <c r="L20" s="77"/>
      <c r="M20" s="82">
        <f t="shared" ca="1" si="1"/>
        <v>917</v>
      </c>
      <c r="N20" s="76"/>
      <c r="O20" s="77"/>
      <c r="P20" s="82">
        <f t="shared" ca="1" si="2"/>
        <v>22031</v>
      </c>
      <c r="Q20" s="77"/>
      <c r="R20" s="21">
        <f t="shared" ca="1" si="3"/>
        <v>78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12248</v>
      </c>
      <c r="L21" s="77"/>
      <c r="M21" s="82">
        <f t="shared" ca="1" si="1"/>
        <v>5437</v>
      </c>
      <c r="N21" s="76"/>
      <c r="O21" s="77"/>
      <c r="P21" s="82">
        <f t="shared" ca="1" si="2"/>
        <v>11097</v>
      </c>
      <c r="Q21" s="77"/>
      <c r="R21" s="21">
        <f t="shared" ca="1" si="3"/>
        <v>24</v>
      </c>
    </row>
    <row r="22" spans="1:18" x14ac:dyDescent="0.25">
      <c r="A22" s="81" t="s">
        <v>78</v>
      </c>
      <c r="B22" s="76"/>
      <c r="C22" s="76"/>
      <c r="D22" s="76"/>
      <c r="E22" s="77"/>
      <c r="F22" s="81" t="s">
        <v>77</v>
      </c>
      <c r="G22" s="76"/>
      <c r="H22" s="76"/>
      <c r="I22" s="77"/>
      <c r="J22" s="22"/>
      <c r="K22" s="82">
        <f t="shared" ca="1" si="0"/>
        <v>5482</v>
      </c>
      <c r="L22" s="77"/>
      <c r="M22" s="82">
        <f t="shared" ca="1" si="1"/>
        <v>229</v>
      </c>
      <c r="N22" s="76"/>
      <c r="O22" s="77"/>
      <c r="P22" s="82">
        <f t="shared" ca="1" si="2"/>
        <v>17565</v>
      </c>
      <c r="Q22" s="77"/>
      <c r="R22" s="21">
        <f t="shared" ca="1" si="3"/>
        <v>44</v>
      </c>
    </row>
    <row r="23" spans="1:18" x14ac:dyDescent="0.25">
      <c r="A23" s="81" t="s">
        <v>30</v>
      </c>
      <c r="B23" s="76"/>
      <c r="C23" s="76"/>
      <c r="D23" s="76"/>
      <c r="E23" s="77"/>
      <c r="F23" s="81" t="s">
        <v>29</v>
      </c>
      <c r="G23" s="76"/>
      <c r="H23" s="76"/>
      <c r="I23" s="77"/>
      <c r="J23" s="22"/>
      <c r="K23" s="82">
        <f t="shared" ca="1" si="0"/>
        <v>6253</v>
      </c>
      <c r="L23" s="77"/>
      <c r="M23" s="82">
        <f t="shared" ca="1" si="1"/>
        <v>2285</v>
      </c>
      <c r="N23" s="76"/>
      <c r="O23" s="77"/>
      <c r="P23" s="82">
        <f t="shared" ca="1" si="2"/>
        <v>4455</v>
      </c>
      <c r="Q23" s="77"/>
      <c r="R23" s="21">
        <f t="shared" ca="1" si="3"/>
        <v>17</v>
      </c>
    </row>
    <row r="24" spans="1:18" x14ac:dyDescent="0.25">
      <c r="A24" s="81" t="s">
        <v>28</v>
      </c>
      <c r="B24" s="76"/>
      <c r="C24" s="76"/>
      <c r="D24" s="76"/>
      <c r="E24" s="77"/>
      <c r="F24" s="81" t="s">
        <v>27</v>
      </c>
      <c r="G24" s="76"/>
      <c r="H24" s="76"/>
      <c r="I24" s="77"/>
      <c r="J24" s="22"/>
      <c r="K24" s="82">
        <f t="shared" ca="1" si="0"/>
        <v>4878</v>
      </c>
      <c r="L24" s="77"/>
      <c r="M24" s="82">
        <f t="shared" ca="1" si="1"/>
        <v>5678</v>
      </c>
      <c r="N24" s="76"/>
      <c r="O24" s="77"/>
      <c r="P24" s="82">
        <f t="shared" ca="1" si="2"/>
        <v>21470</v>
      </c>
      <c r="Q24" s="77"/>
      <c r="R24" s="21">
        <f t="shared" ca="1" si="3"/>
        <v>68</v>
      </c>
    </row>
    <row r="25" spans="1:18" x14ac:dyDescent="0.25">
      <c r="A25" s="81" t="s">
        <v>26</v>
      </c>
      <c r="B25" s="76"/>
      <c r="C25" s="76"/>
      <c r="D25" s="76"/>
      <c r="E25" s="77"/>
      <c r="F25" s="81" t="s">
        <v>25</v>
      </c>
      <c r="G25" s="76"/>
      <c r="H25" s="76"/>
      <c r="I25" s="77"/>
      <c r="J25" s="22"/>
      <c r="K25" s="82">
        <f t="shared" ca="1" si="0"/>
        <v>3081</v>
      </c>
      <c r="L25" s="77"/>
      <c r="M25" s="82">
        <f t="shared" ca="1" si="1"/>
        <v>1240</v>
      </c>
      <c r="N25" s="76"/>
      <c r="O25" s="77"/>
      <c r="P25" s="82">
        <f t="shared" ca="1" si="2"/>
        <v>12230</v>
      </c>
      <c r="Q25" s="77"/>
      <c r="R25" s="21">
        <f t="shared" ca="1" si="3"/>
        <v>23</v>
      </c>
    </row>
    <row r="26" spans="1:18" x14ac:dyDescent="0.25">
      <c r="A26" s="81" t="s">
        <v>70</v>
      </c>
      <c r="B26" s="76"/>
      <c r="C26" s="76"/>
      <c r="D26" s="76"/>
      <c r="E26" s="77"/>
      <c r="F26" s="81" t="s">
        <v>69</v>
      </c>
      <c r="G26" s="76"/>
      <c r="H26" s="76"/>
      <c r="I26" s="77"/>
      <c r="J26" s="22"/>
      <c r="K26" s="82">
        <f t="shared" ca="1" si="0"/>
        <v>18299</v>
      </c>
      <c r="L26" s="77"/>
      <c r="M26" s="82">
        <f t="shared" ca="1" si="1"/>
        <v>6555</v>
      </c>
      <c r="N26" s="76"/>
      <c r="O26" s="77"/>
      <c r="P26" s="82">
        <f t="shared" ca="1" si="2"/>
        <v>8415</v>
      </c>
      <c r="Q26" s="77"/>
      <c r="R26" s="21">
        <f t="shared" ca="1" si="3"/>
        <v>89</v>
      </c>
    </row>
    <row r="27" spans="1:18" x14ac:dyDescent="0.25">
      <c r="A27" s="81" t="s">
        <v>42</v>
      </c>
      <c r="B27" s="76"/>
      <c r="C27" s="76"/>
      <c r="D27" s="76"/>
      <c r="E27" s="77"/>
      <c r="F27" s="81" t="s">
        <v>41</v>
      </c>
      <c r="G27" s="76"/>
      <c r="H27" s="76"/>
      <c r="I27" s="77"/>
      <c r="J27" s="22"/>
      <c r="K27" s="82">
        <f t="shared" ca="1" si="0"/>
        <v>29827</v>
      </c>
      <c r="L27" s="77"/>
      <c r="M27" s="82">
        <f t="shared" ca="1" si="1"/>
        <v>2350</v>
      </c>
      <c r="N27" s="76"/>
      <c r="O27" s="77"/>
      <c r="P27" s="82">
        <f t="shared" ca="1" si="2"/>
        <v>16237</v>
      </c>
      <c r="Q27" s="77"/>
      <c r="R27" s="21">
        <f t="shared" ca="1" si="3"/>
        <v>90</v>
      </c>
    </row>
    <row r="28" spans="1:18" x14ac:dyDescent="0.25">
      <c r="A28" s="81" t="s">
        <v>24</v>
      </c>
      <c r="B28" s="76"/>
      <c r="C28" s="76"/>
      <c r="D28" s="76"/>
      <c r="E28" s="77"/>
      <c r="F28" s="81" t="s">
        <v>23</v>
      </c>
      <c r="G28" s="76"/>
      <c r="H28" s="76"/>
      <c r="I28" s="77"/>
      <c r="J28" s="22"/>
      <c r="K28" s="82">
        <f t="shared" ca="1" si="0"/>
        <v>12713</v>
      </c>
      <c r="L28" s="77"/>
      <c r="M28" s="82">
        <f t="shared" ca="1" si="1"/>
        <v>3738</v>
      </c>
      <c r="N28" s="76"/>
      <c r="O28" s="77"/>
      <c r="P28" s="82">
        <f t="shared" ca="1" si="2"/>
        <v>12962</v>
      </c>
      <c r="Q28" s="77"/>
      <c r="R28" s="21">
        <f t="shared" ca="1" si="3"/>
        <v>95</v>
      </c>
    </row>
    <row r="29" spans="1:18" x14ac:dyDescent="0.25">
      <c r="A29" s="81" t="s">
        <v>44</v>
      </c>
      <c r="B29" s="76"/>
      <c r="C29" s="76"/>
      <c r="D29" s="76"/>
      <c r="E29" s="77"/>
      <c r="F29" s="81" t="s">
        <v>43</v>
      </c>
      <c r="G29" s="76"/>
      <c r="H29" s="76"/>
      <c r="I29" s="77"/>
      <c r="J29" s="22"/>
      <c r="K29" s="82">
        <f t="shared" ca="1" si="0"/>
        <v>18482</v>
      </c>
      <c r="L29" s="77"/>
      <c r="M29" s="82">
        <f t="shared" ca="1" si="1"/>
        <v>3197</v>
      </c>
      <c r="N29" s="76"/>
      <c r="O29" s="77"/>
      <c r="P29" s="82">
        <f t="shared" ca="1" si="2"/>
        <v>6337</v>
      </c>
      <c r="Q29" s="77"/>
      <c r="R29" s="21">
        <f t="shared" ca="1" si="3"/>
        <v>35</v>
      </c>
    </row>
    <row r="30" spans="1:18" x14ac:dyDescent="0.25">
      <c r="A30" s="81" t="s">
        <v>78</v>
      </c>
      <c r="B30" s="76"/>
      <c r="C30" s="76"/>
      <c r="D30" s="76"/>
      <c r="E30" s="77"/>
      <c r="F30" s="81" t="s">
        <v>77</v>
      </c>
      <c r="G30" s="76"/>
      <c r="H30" s="76"/>
      <c r="I30" s="77"/>
      <c r="J30" s="22"/>
      <c r="K30" s="82">
        <f t="shared" ca="1" si="0"/>
        <v>24621</v>
      </c>
      <c r="L30" s="77"/>
      <c r="M30" s="82">
        <f t="shared" ca="1" si="1"/>
        <v>546</v>
      </c>
      <c r="N30" s="76"/>
      <c r="O30" s="77"/>
      <c r="P30" s="82">
        <f t="shared" ca="1" si="2"/>
        <v>1874</v>
      </c>
      <c r="Q30" s="77"/>
      <c r="R30" s="21">
        <f t="shared" ca="1" si="3"/>
        <v>87</v>
      </c>
    </row>
    <row r="31" spans="1:18" x14ac:dyDescent="0.25">
      <c r="A31" s="81" t="s">
        <v>26</v>
      </c>
      <c r="B31" s="76"/>
      <c r="C31" s="76"/>
      <c r="D31" s="76"/>
      <c r="E31" s="77"/>
      <c r="F31" s="81" t="s">
        <v>25</v>
      </c>
      <c r="G31" s="76"/>
      <c r="H31" s="76"/>
      <c r="I31" s="77"/>
      <c r="J31" s="22"/>
      <c r="K31" s="82">
        <f t="shared" ca="1" si="0"/>
        <v>28923</v>
      </c>
      <c r="L31" s="77"/>
      <c r="M31" s="82">
        <f t="shared" ca="1" si="1"/>
        <v>3466</v>
      </c>
      <c r="N31" s="76"/>
      <c r="O31" s="77"/>
      <c r="P31" s="82">
        <f t="shared" ca="1" si="2"/>
        <v>4401</v>
      </c>
      <c r="Q31" s="77"/>
      <c r="R31" s="21">
        <f t="shared" ca="1" si="3"/>
        <v>27</v>
      </c>
    </row>
    <row r="32" spans="1:18" x14ac:dyDescent="0.25">
      <c r="A32" s="81" t="s">
        <v>26</v>
      </c>
      <c r="B32" s="76"/>
      <c r="C32" s="76"/>
      <c r="D32" s="76"/>
      <c r="E32" s="77"/>
      <c r="F32" s="81" t="s">
        <v>25</v>
      </c>
      <c r="G32" s="76"/>
      <c r="H32" s="76"/>
      <c r="I32" s="77"/>
      <c r="J32" s="22"/>
      <c r="K32" s="82">
        <f t="shared" ca="1" si="0"/>
        <v>24351</v>
      </c>
      <c r="L32" s="77"/>
      <c r="M32" s="82">
        <f t="shared" ca="1" si="1"/>
        <v>1363</v>
      </c>
      <c r="N32" s="76"/>
      <c r="O32" s="77"/>
      <c r="P32" s="82">
        <f t="shared" ca="1" si="2"/>
        <v>17314</v>
      </c>
      <c r="Q32" s="77"/>
      <c r="R32" s="21">
        <f t="shared" ca="1" si="3"/>
        <v>62</v>
      </c>
    </row>
    <row r="33" spans="1:26" x14ac:dyDescent="0.25">
      <c r="A33" s="81" t="s">
        <v>42</v>
      </c>
      <c r="B33" s="76"/>
      <c r="C33" s="76"/>
      <c r="D33" s="76"/>
      <c r="E33" s="77"/>
      <c r="F33" s="81" t="s">
        <v>41</v>
      </c>
      <c r="G33" s="76"/>
      <c r="H33" s="76"/>
      <c r="I33" s="77"/>
      <c r="J33" s="22"/>
      <c r="K33" s="82">
        <f t="shared" ca="1" si="0"/>
        <v>2176</v>
      </c>
      <c r="L33" s="77"/>
      <c r="M33" s="82">
        <f t="shared" ca="1" si="1"/>
        <v>5246</v>
      </c>
      <c r="N33" s="76"/>
      <c r="O33" s="77"/>
      <c r="P33" s="82">
        <f t="shared" ca="1" si="2"/>
        <v>22513</v>
      </c>
      <c r="Q33" s="77"/>
      <c r="R33" s="21">
        <f t="shared" ca="1" si="3"/>
        <v>78</v>
      </c>
    </row>
    <row r="34" spans="1:26" x14ac:dyDescent="0.25">
      <c r="A34" s="81" t="s">
        <v>40</v>
      </c>
      <c r="B34" s="76"/>
      <c r="C34" s="76"/>
      <c r="D34" s="76"/>
      <c r="E34" s="77"/>
      <c r="F34" s="81" t="s">
        <v>39</v>
      </c>
      <c r="G34" s="76"/>
      <c r="H34" s="76"/>
      <c r="I34" s="77"/>
      <c r="J34" s="22"/>
      <c r="K34" s="82">
        <f t="shared" ca="1" si="0"/>
        <v>28739</v>
      </c>
      <c r="L34" s="77"/>
      <c r="M34" s="82">
        <f t="shared" ca="1" si="1"/>
        <v>2087</v>
      </c>
      <c r="N34" s="76"/>
      <c r="O34" s="77"/>
      <c r="P34" s="82">
        <f t="shared" ca="1" si="2"/>
        <v>23269</v>
      </c>
      <c r="Q34" s="77"/>
      <c r="R34" s="21">
        <f t="shared" ca="1" si="3"/>
        <v>23</v>
      </c>
    </row>
    <row r="35" spans="1:26" x14ac:dyDescent="0.25">
      <c r="A35" s="81" t="s">
        <v>34</v>
      </c>
      <c r="B35" s="76"/>
      <c r="C35" s="76"/>
      <c r="D35" s="76"/>
      <c r="E35" s="77"/>
      <c r="F35" s="81" t="s">
        <v>33</v>
      </c>
      <c r="G35" s="76"/>
      <c r="H35" s="76"/>
      <c r="I35" s="77"/>
      <c r="J35" s="22"/>
      <c r="K35" s="82">
        <f t="shared" ca="1" si="0"/>
        <v>21522</v>
      </c>
      <c r="L35" s="77"/>
      <c r="M35" s="82">
        <f t="shared" ca="1" si="1"/>
        <v>2176</v>
      </c>
      <c r="N35" s="76"/>
      <c r="O35" s="77"/>
      <c r="P35" s="82">
        <f t="shared" ca="1" si="2"/>
        <v>15154</v>
      </c>
      <c r="Q35" s="77"/>
      <c r="R35" s="21">
        <f t="shared" ca="1" si="3"/>
        <v>4</v>
      </c>
    </row>
    <row r="36" spans="1:26" x14ac:dyDescent="0.25">
      <c r="A36" s="81" t="s">
        <v>30</v>
      </c>
      <c r="B36" s="76"/>
      <c r="C36" s="76"/>
      <c r="D36" s="76"/>
      <c r="E36" s="77"/>
      <c r="F36" s="81" t="s">
        <v>29</v>
      </c>
      <c r="G36" s="76"/>
      <c r="H36" s="76"/>
      <c r="I36" s="77"/>
      <c r="J36" s="22"/>
      <c r="K36" s="82">
        <f t="shared" ca="1" si="0"/>
        <v>22709</v>
      </c>
      <c r="L36" s="77"/>
      <c r="M36" s="82">
        <f t="shared" ca="1" si="1"/>
        <v>2004</v>
      </c>
      <c r="N36" s="76"/>
      <c r="O36" s="77"/>
      <c r="P36" s="82">
        <f t="shared" ca="1" si="2"/>
        <v>9328</v>
      </c>
      <c r="Q36" s="77"/>
      <c r="R36" s="21">
        <f t="shared" ca="1" si="3"/>
        <v>41</v>
      </c>
    </row>
    <row r="37" spans="1:26" x14ac:dyDescent="0.25">
      <c r="A37" s="81" t="s">
        <v>28</v>
      </c>
      <c r="B37" s="76"/>
      <c r="C37" s="76"/>
      <c r="D37" s="76"/>
      <c r="E37" s="77"/>
      <c r="F37" s="81" t="s">
        <v>27</v>
      </c>
      <c r="G37" s="76"/>
      <c r="H37" s="76"/>
      <c r="I37" s="77"/>
      <c r="J37" s="22"/>
      <c r="K37" s="82">
        <f t="shared" ca="1" si="0"/>
        <v>18875</v>
      </c>
      <c r="L37" s="77"/>
      <c r="M37" s="82">
        <f t="shared" ca="1" si="1"/>
        <v>6070</v>
      </c>
      <c r="N37" s="76"/>
      <c r="O37" s="77"/>
      <c r="P37" s="82">
        <f t="shared" ca="1" si="2"/>
        <v>17272</v>
      </c>
      <c r="Q37" s="77"/>
      <c r="R37" s="21">
        <f t="shared" ca="1" si="3"/>
        <v>19</v>
      </c>
    </row>
    <row r="38" spans="1:26" x14ac:dyDescent="0.25">
      <c r="A38" s="81" t="s">
        <v>36</v>
      </c>
      <c r="B38" s="76"/>
      <c r="C38" s="76"/>
      <c r="D38" s="76"/>
      <c r="E38" s="77"/>
      <c r="F38" s="81" t="s">
        <v>35</v>
      </c>
      <c r="G38" s="76"/>
      <c r="H38" s="76"/>
      <c r="I38" s="77"/>
      <c r="J38" s="22"/>
      <c r="K38" s="82">
        <f t="shared" ca="1" si="0"/>
        <v>6982</v>
      </c>
      <c r="L38" s="77"/>
      <c r="M38" s="82">
        <f t="shared" ca="1" si="1"/>
        <v>4169</v>
      </c>
      <c r="N38" s="76"/>
      <c r="O38" s="77"/>
      <c r="P38" s="82">
        <f t="shared" ca="1" si="2"/>
        <v>17176</v>
      </c>
      <c r="Q38" s="77"/>
      <c r="R38" s="21">
        <f t="shared" ca="1" si="3"/>
        <v>90</v>
      </c>
    </row>
    <row r="39" spans="1:26" x14ac:dyDescent="0.25">
      <c r="A39" s="81" t="s">
        <v>32</v>
      </c>
      <c r="B39" s="76"/>
      <c r="C39" s="76"/>
      <c r="D39" s="76"/>
      <c r="E39" s="77"/>
      <c r="F39" s="81" t="s">
        <v>31</v>
      </c>
      <c r="G39" s="76"/>
      <c r="H39" s="76"/>
      <c r="I39" s="77"/>
      <c r="J39" s="22"/>
      <c r="K39" s="82">
        <f t="shared" ca="1" si="0"/>
        <v>4733</v>
      </c>
      <c r="L39" s="77"/>
      <c r="M39" s="82">
        <f t="shared" ca="1" si="1"/>
        <v>4205</v>
      </c>
      <c r="N39" s="76"/>
      <c r="O39" s="77"/>
      <c r="P39" s="82">
        <f t="shared" ca="1" si="2"/>
        <v>6437</v>
      </c>
      <c r="Q39" s="77"/>
      <c r="R39" s="21">
        <f t="shared" ca="1" si="3"/>
        <v>22</v>
      </c>
    </row>
    <row r="40" spans="1:26" x14ac:dyDescent="0.25">
      <c r="A40" s="81" t="s">
        <v>28</v>
      </c>
      <c r="B40" s="76"/>
      <c r="C40" s="76"/>
      <c r="D40" s="76"/>
      <c r="E40" s="77"/>
      <c r="F40" s="81" t="s">
        <v>27</v>
      </c>
      <c r="G40" s="76"/>
      <c r="H40" s="76"/>
      <c r="I40" s="77"/>
      <c r="J40" s="22"/>
      <c r="K40" s="82">
        <f t="shared" ca="1" si="0"/>
        <v>17998</v>
      </c>
      <c r="L40" s="77"/>
      <c r="M40" s="82">
        <f t="shared" ca="1" si="1"/>
        <v>2486</v>
      </c>
      <c r="N40" s="76"/>
      <c r="O40" s="77"/>
      <c r="P40" s="82">
        <f t="shared" ca="1" si="2"/>
        <v>3595</v>
      </c>
      <c r="Q40" s="77"/>
      <c r="R40" s="21">
        <f t="shared" ca="1" si="3"/>
        <v>93</v>
      </c>
    </row>
    <row r="41" spans="1:26" x14ac:dyDescent="0.25">
      <c r="A41" s="81" t="s">
        <v>26</v>
      </c>
      <c r="B41" s="76"/>
      <c r="C41" s="76"/>
      <c r="D41" s="76"/>
      <c r="E41" s="77"/>
      <c r="F41" s="81" t="s">
        <v>25</v>
      </c>
      <c r="G41" s="76"/>
      <c r="H41" s="76"/>
      <c r="I41" s="77"/>
      <c r="J41" s="22"/>
      <c r="K41" s="82">
        <f t="shared" ca="1" si="0"/>
        <v>20429</v>
      </c>
      <c r="L41" s="77"/>
      <c r="M41" s="82">
        <f t="shared" ca="1" si="1"/>
        <v>3931</v>
      </c>
      <c r="N41" s="76"/>
      <c r="O41" s="77"/>
      <c r="P41" s="82">
        <f t="shared" ca="1" si="2"/>
        <v>10041</v>
      </c>
      <c r="Q41" s="77"/>
      <c r="R41" s="21">
        <f t="shared" ca="1" si="3"/>
        <v>48</v>
      </c>
    </row>
    <row r="42" spans="1:26" x14ac:dyDescent="0.25">
      <c r="A42" s="75" t="s">
        <v>22</v>
      </c>
      <c r="B42" s="76"/>
      <c r="C42" s="76"/>
      <c r="D42" s="76"/>
      <c r="E42" s="76"/>
      <c r="F42" s="76"/>
      <c r="G42" s="76"/>
      <c r="H42" s="76"/>
      <c r="I42" s="77"/>
      <c r="J42" s="20"/>
      <c r="K42" s="78">
        <f ca="1">SUM(K18:L41)</f>
        <v>393418</v>
      </c>
      <c r="L42" s="77"/>
      <c r="M42" s="78">
        <f ca="1">SUM(M18:O41)</f>
        <v>81422</v>
      </c>
      <c r="N42" s="76"/>
      <c r="O42" s="77"/>
      <c r="P42" s="78">
        <f ca="1">SUM(P18:Q41)</f>
        <v>303077</v>
      </c>
      <c r="Q42" s="77"/>
      <c r="R42" s="19">
        <f ca="1">SUM(R18:R41)</f>
        <v>1196</v>
      </c>
    </row>
    <row r="43" spans="1:26" ht="27" customHeight="1" x14ac:dyDescent="0.25">
      <c r="A43" s="79" t="s">
        <v>21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</sheetData>
  <mergeCells count="156">
    <mergeCell ref="A42:I42"/>
    <mergeCell ref="K42:L42"/>
    <mergeCell ref="M42:O42"/>
    <mergeCell ref="P42:Q42"/>
    <mergeCell ref="A43:Z43"/>
    <mergeCell ref="A41:E41"/>
    <mergeCell ref="F41:I41"/>
    <mergeCell ref="K41:L41"/>
    <mergeCell ref="M41:O41"/>
    <mergeCell ref="P41:Q41"/>
    <mergeCell ref="A40:E40"/>
    <mergeCell ref="F40:I40"/>
    <mergeCell ref="K40:L40"/>
    <mergeCell ref="M40:O40"/>
    <mergeCell ref="P40:Q40"/>
    <mergeCell ref="A39:E39"/>
    <mergeCell ref="F39:I39"/>
    <mergeCell ref="K39:L39"/>
    <mergeCell ref="M39:O39"/>
    <mergeCell ref="P39:Q39"/>
    <mergeCell ref="A38:E38"/>
    <mergeCell ref="F38:I38"/>
    <mergeCell ref="K38:L38"/>
    <mergeCell ref="M38:O38"/>
    <mergeCell ref="P38:Q38"/>
    <mergeCell ref="A37:E37"/>
    <mergeCell ref="F37:I37"/>
    <mergeCell ref="K37:L37"/>
    <mergeCell ref="M37:O37"/>
    <mergeCell ref="P37:Q37"/>
    <mergeCell ref="A36:E36"/>
    <mergeCell ref="F36:I36"/>
    <mergeCell ref="K36:L36"/>
    <mergeCell ref="M36:O36"/>
    <mergeCell ref="P36:Q36"/>
    <mergeCell ref="A35:E35"/>
    <mergeCell ref="F35:I35"/>
    <mergeCell ref="K35:L35"/>
    <mergeCell ref="M35:O35"/>
    <mergeCell ref="P35:Q35"/>
    <mergeCell ref="A34:E34"/>
    <mergeCell ref="F34:I34"/>
    <mergeCell ref="K34:L34"/>
    <mergeCell ref="M34:O34"/>
    <mergeCell ref="P34:Q34"/>
    <mergeCell ref="A33:E33"/>
    <mergeCell ref="F33:I33"/>
    <mergeCell ref="K33:L33"/>
    <mergeCell ref="M33:O33"/>
    <mergeCell ref="P33:Q33"/>
    <mergeCell ref="A32:E32"/>
    <mergeCell ref="F32:I32"/>
    <mergeCell ref="K32:L32"/>
    <mergeCell ref="M32:O32"/>
    <mergeCell ref="P32:Q32"/>
    <mergeCell ref="A31:E31"/>
    <mergeCell ref="F31:I31"/>
    <mergeCell ref="K31:L31"/>
    <mergeCell ref="M31:O31"/>
    <mergeCell ref="P31:Q31"/>
    <mergeCell ref="A30:E30"/>
    <mergeCell ref="F30:I30"/>
    <mergeCell ref="K30:L30"/>
    <mergeCell ref="M30:O30"/>
    <mergeCell ref="P30:Q30"/>
    <mergeCell ref="A29:E29"/>
    <mergeCell ref="F29:I29"/>
    <mergeCell ref="K29:L29"/>
    <mergeCell ref="M29:O29"/>
    <mergeCell ref="P29:Q29"/>
    <mergeCell ref="A28:E28"/>
    <mergeCell ref="F28:I28"/>
    <mergeCell ref="K28:L28"/>
    <mergeCell ref="M28:O28"/>
    <mergeCell ref="P28:Q28"/>
    <mergeCell ref="A27:E27"/>
    <mergeCell ref="F27:I27"/>
    <mergeCell ref="K27:L27"/>
    <mergeCell ref="M27:O27"/>
    <mergeCell ref="P27:Q27"/>
    <mergeCell ref="A26:E26"/>
    <mergeCell ref="F26:I26"/>
    <mergeCell ref="K26:L26"/>
    <mergeCell ref="M26:O26"/>
    <mergeCell ref="P26:Q26"/>
    <mergeCell ref="A25:E25"/>
    <mergeCell ref="F25:I25"/>
    <mergeCell ref="K25:L25"/>
    <mergeCell ref="M25:O25"/>
    <mergeCell ref="P25:Q25"/>
    <mergeCell ref="A24:E24"/>
    <mergeCell ref="F24:I24"/>
    <mergeCell ref="K24:L24"/>
    <mergeCell ref="M24:O24"/>
    <mergeCell ref="P24:Q24"/>
    <mergeCell ref="A23:E23"/>
    <mergeCell ref="F23:I23"/>
    <mergeCell ref="K23:L23"/>
    <mergeCell ref="M23:O23"/>
    <mergeCell ref="P23:Q23"/>
    <mergeCell ref="A22:E22"/>
    <mergeCell ref="F22:I22"/>
    <mergeCell ref="K22:L22"/>
    <mergeCell ref="M22:O22"/>
    <mergeCell ref="P22:Q22"/>
    <mergeCell ref="A21:E21"/>
    <mergeCell ref="F21:I21"/>
    <mergeCell ref="K21:L21"/>
    <mergeCell ref="M21:O21"/>
    <mergeCell ref="P21:Q21"/>
    <mergeCell ref="A20:E20"/>
    <mergeCell ref="F20:I20"/>
    <mergeCell ref="K20:L20"/>
    <mergeCell ref="M20:O20"/>
    <mergeCell ref="P20:Q20"/>
    <mergeCell ref="A19:E19"/>
    <mergeCell ref="F19:I19"/>
    <mergeCell ref="K19:L19"/>
    <mergeCell ref="M19:O19"/>
    <mergeCell ref="P19:Q19"/>
    <mergeCell ref="D14:G14"/>
    <mergeCell ref="H14:X14"/>
    <mergeCell ref="A15:H15"/>
    <mergeCell ref="I15:K15"/>
    <mergeCell ref="L15:M15"/>
    <mergeCell ref="N15:P15"/>
    <mergeCell ref="A18:E18"/>
    <mergeCell ref="F18:I18"/>
    <mergeCell ref="K18:L18"/>
    <mergeCell ref="M18:O18"/>
    <mergeCell ref="P18:Q18"/>
    <mergeCell ref="A17:E17"/>
    <mergeCell ref="F17:I17"/>
    <mergeCell ref="K17:L17"/>
    <mergeCell ref="M17:O17"/>
    <mergeCell ref="P17:Q17"/>
    <mergeCell ref="C9:H9"/>
    <mergeCell ref="I9:W9"/>
    <mergeCell ref="C10:H10"/>
    <mergeCell ref="I10:W10"/>
    <mergeCell ref="B11:H11"/>
    <mergeCell ref="I11:W11"/>
    <mergeCell ref="E12:H12"/>
    <mergeCell ref="I12:Y12"/>
    <mergeCell ref="G13:H13"/>
    <mergeCell ref="I13:W13"/>
    <mergeCell ref="A1:N3"/>
    <mergeCell ref="U4:V4"/>
    <mergeCell ref="A5:H5"/>
    <mergeCell ref="I5:W5"/>
    <mergeCell ref="A6:H6"/>
    <mergeCell ref="I6:W6"/>
    <mergeCell ref="A7:H7"/>
    <mergeCell ref="I7:W7"/>
    <mergeCell ref="G8:H8"/>
    <mergeCell ref="I8:W8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F3E9-AF4A-49C2-A1F7-77821AE8C4FB}">
  <dimension ref="A1:AA44"/>
  <sheetViews>
    <sheetView showGridLines="0" workbookViewId="0">
      <pane ySplit="4" topLeftCell="A13" activePane="bottomLeft" state="frozen"/>
      <selection pane="bottomLeft" activeCell="J18" sqref="J18:J43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379996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93180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1451</v>
      </c>
    </row>
    <row r="4" spans="1:27" ht="12.2" customHeight="1" x14ac:dyDescent="0.25">
      <c r="U4" s="88">
        <v>45483.577655312503</v>
      </c>
      <c r="V4" s="80"/>
      <c r="AA4" s="17">
        <f ca="1">AA2-AA3</f>
        <v>91729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45444</v>
      </c>
      <c r="J15" s="80"/>
      <c r="K15" s="80"/>
      <c r="L15" s="84" t="s">
        <v>17</v>
      </c>
      <c r="M15" s="80"/>
      <c r="N15" s="85">
        <v>45473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8635</v>
      </c>
      <c r="L18" s="77"/>
      <c r="M18" s="82">
        <f ca="1">RANDBETWEEN(0,7000)</f>
        <v>4540</v>
      </c>
      <c r="N18" s="76"/>
      <c r="O18" s="77"/>
      <c r="P18" s="82">
        <f ca="1">RANDBETWEEN(0,25000)</f>
        <v>7136</v>
      </c>
      <c r="Q18" s="77"/>
      <c r="R18" s="21">
        <f ca="1">RANDBETWEEN(0,100)</f>
        <v>99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42" ca="1" si="0">RANDBETWEEN(0,32500)</f>
        <v>7386</v>
      </c>
      <c r="L19" s="77"/>
      <c r="M19" s="82">
        <f t="shared" ref="M19:M42" ca="1" si="1">RANDBETWEEN(0,7000)</f>
        <v>3001</v>
      </c>
      <c r="N19" s="76"/>
      <c r="O19" s="77"/>
      <c r="P19" s="82">
        <f t="shared" ref="P19:P42" ca="1" si="2">RANDBETWEEN(0,25000)</f>
        <v>21249</v>
      </c>
      <c r="Q19" s="77"/>
      <c r="R19" s="21">
        <f t="shared" ref="R19:R42" ca="1" si="3">RANDBETWEEN(0,100)</f>
        <v>91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26363</v>
      </c>
      <c r="L20" s="77"/>
      <c r="M20" s="82">
        <f t="shared" ca="1" si="1"/>
        <v>1790</v>
      </c>
      <c r="N20" s="76"/>
      <c r="O20" s="77"/>
      <c r="P20" s="82">
        <f t="shared" ca="1" si="2"/>
        <v>8438</v>
      </c>
      <c r="Q20" s="77"/>
      <c r="R20" s="21">
        <f t="shared" ca="1" si="3"/>
        <v>16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31226</v>
      </c>
      <c r="L21" s="77"/>
      <c r="M21" s="82">
        <f t="shared" ca="1" si="1"/>
        <v>3437</v>
      </c>
      <c r="N21" s="76"/>
      <c r="O21" s="77"/>
      <c r="P21" s="82">
        <f t="shared" ca="1" si="2"/>
        <v>14047</v>
      </c>
      <c r="Q21" s="77"/>
      <c r="R21" s="21">
        <f t="shared" ca="1" si="3"/>
        <v>68</v>
      </c>
    </row>
    <row r="22" spans="1:18" x14ac:dyDescent="0.25">
      <c r="A22" s="81" t="s">
        <v>30</v>
      </c>
      <c r="B22" s="76"/>
      <c r="C22" s="76"/>
      <c r="D22" s="76"/>
      <c r="E22" s="77"/>
      <c r="F22" s="81" t="s">
        <v>29</v>
      </c>
      <c r="G22" s="76"/>
      <c r="H22" s="76"/>
      <c r="I22" s="77"/>
      <c r="J22" s="22"/>
      <c r="K22" s="82">
        <f t="shared" ca="1" si="0"/>
        <v>23360</v>
      </c>
      <c r="L22" s="77"/>
      <c r="M22" s="82">
        <f t="shared" ca="1" si="1"/>
        <v>4218</v>
      </c>
      <c r="N22" s="76"/>
      <c r="O22" s="77"/>
      <c r="P22" s="82">
        <f t="shared" ca="1" si="2"/>
        <v>19638</v>
      </c>
      <c r="Q22" s="77"/>
      <c r="R22" s="21">
        <f t="shared" ca="1" si="3"/>
        <v>58</v>
      </c>
    </row>
    <row r="23" spans="1:18" x14ac:dyDescent="0.25">
      <c r="A23" s="81" t="s">
        <v>78</v>
      </c>
      <c r="B23" s="76"/>
      <c r="C23" s="76"/>
      <c r="D23" s="76"/>
      <c r="E23" s="77"/>
      <c r="F23" s="81" t="s">
        <v>77</v>
      </c>
      <c r="G23" s="76"/>
      <c r="H23" s="76"/>
      <c r="I23" s="77"/>
      <c r="J23" s="22"/>
      <c r="K23" s="82">
        <f t="shared" ca="1" si="0"/>
        <v>26253</v>
      </c>
      <c r="L23" s="77"/>
      <c r="M23" s="82">
        <f t="shared" ca="1" si="1"/>
        <v>3708</v>
      </c>
      <c r="N23" s="76"/>
      <c r="O23" s="77"/>
      <c r="P23" s="82">
        <f t="shared" ca="1" si="2"/>
        <v>18455</v>
      </c>
      <c r="Q23" s="77"/>
      <c r="R23" s="21">
        <f t="shared" ca="1" si="3"/>
        <v>62</v>
      </c>
    </row>
    <row r="24" spans="1:18" x14ac:dyDescent="0.25">
      <c r="A24" s="81" t="s">
        <v>28</v>
      </c>
      <c r="B24" s="76"/>
      <c r="C24" s="76"/>
      <c r="D24" s="76"/>
      <c r="E24" s="77"/>
      <c r="F24" s="81" t="s">
        <v>27</v>
      </c>
      <c r="G24" s="76"/>
      <c r="H24" s="76"/>
      <c r="I24" s="77"/>
      <c r="J24" s="22"/>
      <c r="K24" s="82">
        <f t="shared" ca="1" si="0"/>
        <v>17315</v>
      </c>
      <c r="L24" s="77"/>
      <c r="M24" s="82">
        <f t="shared" ca="1" si="1"/>
        <v>4001</v>
      </c>
      <c r="N24" s="76"/>
      <c r="O24" s="77"/>
      <c r="P24" s="82">
        <f t="shared" ca="1" si="2"/>
        <v>7063</v>
      </c>
      <c r="Q24" s="77"/>
      <c r="R24" s="21">
        <f t="shared" ca="1" si="3"/>
        <v>92</v>
      </c>
    </row>
    <row r="25" spans="1:18" x14ac:dyDescent="0.25">
      <c r="A25" s="81" t="s">
        <v>70</v>
      </c>
      <c r="B25" s="76"/>
      <c r="C25" s="76"/>
      <c r="D25" s="76"/>
      <c r="E25" s="77"/>
      <c r="F25" s="81" t="s">
        <v>69</v>
      </c>
      <c r="G25" s="76"/>
      <c r="H25" s="76"/>
      <c r="I25" s="77"/>
      <c r="J25" s="22"/>
      <c r="K25" s="82">
        <f t="shared" ca="1" si="0"/>
        <v>9575</v>
      </c>
      <c r="L25" s="77"/>
      <c r="M25" s="82">
        <f t="shared" ca="1" si="1"/>
        <v>1000</v>
      </c>
      <c r="N25" s="76"/>
      <c r="O25" s="77"/>
      <c r="P25" s="82">
        <f t="shared" ca="1" si="2"/>
        <v>16549</v>
      </c>
      <c r="Q25" s="77"/>
      <c r="R25" s="21">
        <f t="shared" ca="1" si="3"/>
        <v>63</v>
      </c>
    </row>
    <row r="26" spans="1:18" x14ac:dyDescent="0.25">
      <c r="A26" s="81" t="s">
        <v>26</v>
      </c>
      <c r="B26" s="76"/>
      <c r="C26" s="76"/>
      <c r="D26" s="76"/>
      <c r="E26" s="77"/>
      <c r="F26" s="81" t="s">
        <v>25</v>
      </c>
      <c r="G26" s="76"/>
      <c r="H26" s="76"/>
      <c r="I26" s="77"/>
      <c r="J26" s="22"/>
      <c r="K26" s="82">
        <f t="shared" ca="1" si="0"/>
        <v>6432</v>
      </c>
      <c r="L26" s="77"/>
      <c r="M26" s="82">
        <f t="shared" ca="1" si="1"/>
        <v>5658</v>
      </c>
      <c r="N26" s="76"/>
      <c r="O26" s="77"/>
      <c r="P26" s="82">
        <f t="shared" ca="1" si="2"/>
        <v>2778</v>
      </c>
      <c r="Q26" s="77"/>
      <c r="R26" s="21">
        <f t="shared" ca="1" si="3"/>
        <v>27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3927</v>
      </c>
      <c r="L27" s="77"/>
      <c r="M27" s="82">
        <f t="shared" ca="1" si="1"/>
        <v>4783</v>
      </c>
      <c r="N27" s="76"/>
      <c r="O27" s="77"/>
      <c r="P27" s="82">
        <f t="shared" ca="1" si="2"/>
        <v>5667</v>
      </c>
      <c r="Q27" s="77"/>
      <c r="R27" s="21">
        <f t="shared" ca="1" si="3"/>
        <v>41</v>
      </c>
    </row>
    <row r="28" spans="1:18" x14ac:dyDescent="0.25">
      <c r="A28" s="81" t="s">
        <v>86</v>
      </c>
      <c r="B28" s="76"/>
      <c r="C28" s="76"/>
      <c r="D28" s="76"/>
      <c r="E28" s="77"/>
      <c r="F28" s="81" t="s">
        <v>85</v>
      </c>
      <c r="G28" s="76"/>
      <c r="H28" s="76"/>
      <c r="I28" s="77"/>
      <c r="J28" s="22"/>
      <c r="K28" s="82">
        <f t="shared" ca="1" si="0"/>
        <v>11627</v>
      </c>
      <c r="L28" s="77"/>
      <c r="M28" s="82">
        <f t="shared" ca="1" si="1"/>
        <v>5938</v>
      </c>
      <c r="N28" s="76"/>
      <c r="O28" s="77"/>
      <c r="P28" s="82">
        <f t="shared" ca="1" si="2"/>
        <v>12509</v>
      </c>
      <c r="Q28" s="77"/>
      <c r="R28" s="21">
        <f t="shared" ca="1" si="3"/>
        <v>14</v>
      </c>
    </row>
    <row r="29" spans="1:18" x14ac:dyDescent="0.25">
      <c r="A29" s="81" t="s">
        <v>44</v>
      </c>
      <c r="B29" s="76"/>
      <c r="C29" s="76"/>
      <c r="D29" s="76"/>
      <c r="E29" s="77"/>
      <c r="F29" s="81" t="s">
        <v>43</v>
      </c>
      <c r="G29" s="76"/>
      <c r="H29" s="76"/>
      <c r="I29" s="77"/>
      <c r="J29" s="22"/>
      <c r="K29" s="82">
        <f t="shared" ca="1" si="0"/>
        <v>16331</v>
      </c>
      <c r="L29" s="77"/>
      <c r="M29" s="82">
        <f t="shared" ca="1" si="1"/>
        <v>6562</v>
      </c>
      <c r="N29" s="76"/>
      <c r="O29" s="77"/>
      <c r="P29" s="82">
        <f t="shared" ca="1" si="2"/>
        <v>13703</v>
      </c>
      <c r="Q29" s="77"/>
      <c r="R29" s="21">
        <f t="shared" ca="1" si="3"/>
        <v>84</v>
      </c>
    </row>
    <row r="30" spans="1:18" x14ac:dyDescent="0.25">
      <c r="A30" s="81" t="s">
        <v>26</v>
      </c>
      <c r="B30" s="76"/>
      <c r="C30" s="76"/>
      <c r="D30" s="76"/>
      <c r="E30" s="77"/>
      <c r="F30" s="81" t="s">
        <v>25</v>
      </c>
      <c r="G30" s="76"/>
      <c r="H30" s="76"/>
      <c r="I30" s="77"/>
      <c r="J30" s="22"/>
      <c r="K30" s="82">
        <f t="shared" ca="1" si="0"/>
        <v>17507</v>
      </c>
      <c r="L30" s="77"/>
      <c r="M30" s="82">
        <f t="shared" ca="1" si="1"/>
        <v>1816</v>
      </c>
      <c r="N30" s="76"/>
      <c r="O30" s="77"/>
      <c r="P30" s="82">
        <f t="shared" ca="1" si="2"/>
        <v>16334</v>
      </c>
      <c r="Q30" s="77"/>
      <c r="R30" s="21">
        <f t="shared" ca="1" si="3"/>
        <v>83</v>
      </c>
    </row>
    <row r="31" spans="1:18" x14ac:dyDescent="0.25">
      <c r="A31" s="81" t="s">
        <v>42</v>
      </c>
      <c r="B31" s="76"/>
      <c r="C31" s="76"/>
      <c r="D31" s="76"/>
      <c r="E31" s="77"/>
      <c r="F31" s="81" t="s">
        <v>41</v>
      </c>
      <c r="G31" s="76"/>
      <c r="H31" s="76"/>
      <c r="I31" s="77"/>
      <c r="J31" s="22"/>
      <c r="K31" s="82">
        <f t="shared" ca="1" si="0"/>
        <v>16950</v>
      </c>
      <c r="L31" s="77"/>
      <c r="M31" s="82">
        <f t="shared" ca="1" si="1"/>
        <v>1009</v>
      </c>
      <c r="N31" s="76"/>
      <c r="O31" s="77"/>
      <c r="P31" s="82">
        <f t="shared" ca="1" si="2"/>
        <v>16636</v>
      </c>
      <c r="Q31" s="77"/>
      <c r="R31" s="21">
        <f t="shared" ca="1" si="3"/>
        <v>66</v>
      </c>
    </row>
    <row r="32" spans="1:18" x14ac:dyDescent="0.25">
      <c r="A32" s="81" t="s">
        <v>24</v>
      </c>
      <c r="B32" s="76"/>
      <c r="C32" s="76"/>
      <c r="D32" s="76"/>
      <c r="E32" s="77"/>
      <c r="F32" s="81" t="s">
        <v>23</v>
      </c>
      <c r="G32" s="76"/>
      <c r="H32" s="76"/>
      <c r="I32" s="77"/>
      <c r="J32" s="22"/>
      <c r="K32" s="82">
        <f t="shared" ca="1" si="0"/>
        <v>5353</v>
      </c>
      <c r="L32" s="77"/>
      <c r="M32" s="82">
        <f t="shared" ca="1" si="1"/>
        <v>4133</v>
      </c>
      <c r="N32" s="76"/>
      <c r="O32" s="77"/>
      <c r="P32" s="82">
        <f t="shared" ca="1" si="2"/>
        <v>18285</v>
      </c>
      <c r="Q32" s="77"/>
      <c r="R32" s="21">
        <f t="shared" ca="1" si="3"/>
        <v>35</v>
      </c>
    </row>
    <row r="33" spans="1:26" x14ac:dyDescent="0.25">
      <c r="A33" s="81" t="s">
        <v>70</v>
      </c>
      <c r="B33" s="76"/>
      <c r="C33" s="76"/>
      <c r="D33" s="76"/>
      <c r="E33" s="77"/>
      <c r="F33" s="81" t="s">
        <v>69</v>
      </c>
      <c r="G33" s="76"/>
      <c r="H33" s="76"/>
      <c r="I33" s="77"/>
      <c r="J33" s="22"/>
      <c r="K33" s="82">
        <f t="shared" ca="1" si="0"/>
        <v>24902</v>
      </c>
      <c r="L33" s="77"/>
      <c r="M33" s="82">
        <f t="shared" ca="1" si="1"/>
        <v>3201</v>
      </c>
      <c r="N33" s="76"/>
      <c r="O33" s="77"/>
      <c r="P33" s="82">
        <f t="shared" ca="1" si="2"/>
        <v>11666</v>
      </c>
      <c r="Q33" s="77"/>
      <c r="R33" s="21">
        <f t="shared" ca="1" si="3"/>
        <v>50</v>
      </c>
    </row>
    <row r="34" spans="1:26" x14ac:dyDescent="0.25">
      <c r="A34" s="81" t="s">
        <v>30</v>
      </c>
      <c r="B34" s="76"/>
      <c r="C34" s="76"/>
      <c r="D34" s="76"/>
      <c r="E34" s="77"/>
      <c r="F34" s="81" t="s">
        <v>29</v>
      </c>
      <c r="G34" s="76"/>
      <c r="H34" s="76"/>
      <c r="I34" s="77"/>
      <c r="J34" s="22"/>
      <c r="K34" s="82">
        <f t="shared" ca="1" si="0"/>
        <v>4503</v>
      </c>
      <c r="L34" s="77"/>
      <c r="M34" s="82">
        <f t="shared" ca="1" si="1"/>
        <v>5933</v>
      </c>
      <c r="N34" s="76"/>
      <c r="O34" s="77"/>
      <c r="P34" s="82">
        <f t="shared" ca="1" si="2"/>
        <v>8840</v>
      </c>
      <c r="Q34" s="77"/>
      <c r="R34" s="21">
        <f t="shared" ca="1" si="3"/>
        <v>88</v>
      </c>
    </row>
    <row r="35" spans="1:26" x14ac:dyDescent="0.25">
      <c r="A35" s="81" t="s">
        <v>28</v>
      </c>
      <c r="B35" s="76"/>
      <c r="C35" s="76"/>
      <c r="D35" s="76"/>
      <c r="E35" s="77"/>
      <c r="F35" s="81" t="s">
        <v>27</v>
      </c>
      <c r="G35" s="76"/>
      <c r="H35" s="76"/>
      <c r="I35" s="77"/>
      <c r="J35" s="22"/>
      <c r="K35" s="82">
        <f t="shared" ca="1" si="0"/>
        <v>10908</v>
      </c>
      <c r="L35" s="77"/>
      <c r="M35" s="82">
        <f t="shared" ca="1" si="1"/>
        <v>2633</v>
      </c>
      <c r="N35" s="76"/>
      <c r="O35" s="77"/>
      <c r="P35" s="82">
        <f t="shared" ca="1" si="2"/>
        <v>5898</v>
      </c>
      <c r="Q35" s="77"/>
      <c r="R35" s="21">
        <f t="shared" ca="1" si="3"/>
        <v>97</v>
      </c>
    </row>
    <row r="36" spans="1:26" x14ac:dyDescent="0.25">
      <c r="A36" s="81" t="s">
        <v>28</v>
      </c>
      <c r="B36" s="76"/>
      <c r="C36" s="76"/>
      <c r="D36" s="76"/>
      <c r="E36" s="77"/>
      <c r="F36" s="81" t="s">
        <v>27</v>
      </c>
      <c r="G36" s="76"/>
      <c r="H36" s="76"/>
      <c r="I36" s="77"/>
      <c r="J36" s="22"/>
      <c r="K36" s="82">
        <f t="shared" ca="1" si="0"/>
        <v>21778</v>
      </c>
      <c r="L36" s="77"/>
      <c r="M36" s="82">
        <f t="shared" ca="1" si="1"/>
        <v>5084</v>
      </c>
      <c r="N36" s="76"/>
      <c r="O36" s="77"/>
      <c r="P36" s="82">
        <f t="shared" ca="1" si="2"/>
        <v>22774</v>
      </c>
      <c r="Q36" s="77"/>
      <c r="R36" s="21">
        <f t="shared" ca="1" si="3"/>
        <v>57</v>
      </c>
    </row>
    <row r="37" spans="1:26" x14ac:dyDescent="0.25">
      <c r="A37" s="81" t="s">
        <v>40</v>
      </c>
      <c r="B37" s="76"/>
      <c r="C37" s="76"/>
      <c r="D37" s="76"/>
      <c r="E37" s="77"/>
      <c r="F37" s="81" t="s">
        <v>39</v>
      </c>
      <c r="G37" s="76"/>
      <c r="H37" s="76"/>
      <c r="I37" s="77"/>
      <c r="J37" s="22"/>
      <c r="K37" s="82">
        <f t="shared" ca="1" si="0"/>
        <v>20937</v>
      </c>
      <c r="L37" s="77"/>
      <c r="M37" s="82">
        <f t="shared" ca="1" si="1"/>
        <v>6335</v>
      </c>
      <c r="N37" s="76"/>
      <c r="O37" s="77"/>
      <c r="P37" s="82">
        <f t="shared" ca="1" si="2"/>
        <v>199</v>
      </c>
      <c r="Q37" s="77"/>
      <c r="R37" s="21">
        <f t="shared" ca="1" si="3"/>
        <v>56</v>
      </c>
    </row>
    <row r="38" spans="1:26" x14ac:dyDescent="0.25">
      <c r="A38" s="81" t="s">
        <v>34</v>
      </c>
      <c r="B38" s="76"/>
      <c r="C38" s="76"/>
      <c r="D38" s="76"/>
      <c r="E38" s="77"/>
      <c r="F38" s="81" t="s">
        <v>33</v>
      </c>
      <c r="G38" s="76"/>
      <c r="H38" s="76"/>
      <c r="I38" s="77"/>
      <c r="J38" s="22"/>
      <c r="K38" s="82">
        <f t="shared" ca="1" si="0"/>
        <v>17981</v>
      </c>
      <c r="L38" s="77"/>
      <c r="M38" s="82">
        <f t="shared" ca="1" si="1"/>
        <v>1576</v>
      </c>
      <c r="N38" s="76"/>
      <c r="O38" s="77"/>
      <c r="P38" s="82">
        <f t="shared" ca="1" si="2"/>
        <v>6671</v>
      </c>
      <c r="Q38" s="77"/>
      <c r="R38" s="21">
        <f t="shared" ca="1" si="3"/>
        <v>62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683</v>
      </c>
      <c r="L39" s="77"/>
      <c r="M39" s="82">
        <f t="shared" ca="1" si="1"/>
        <v>2634</v>
      </c>
      <c r="N39" s="76"/>
      <c r="O39" s="77"/>
      <c r="P39" s="82">
        <f t="shared" ca="1" si="2"/>
        <v>9030</v>
      </c>
      <c r="Q39" s="77"/>
      <c r="R39" s="21">
        <f t="shared" ca="1" si="3"/>
        <v>30</v>
      </c>
    </row>
    <row r="40" spans="1:26" x14ac:dyDescent="0.25">
      <c r="A40" s="81" t="s">
        <v>32</v>
      </c>
      <c r="B40" s="76"/>
      <c r="C40" s="76"/>
      <c r="D40" s="76"/>
      <c r="E40" s="77"/>
      <c r="F40" s="81" t="s">
        <v>31</v>
      </c>
      <c r="G40" s="76"/>
      <c r="H40" s="76"/>
      <c r="I40" s="77"/>
      <c r="J40" s="22"/>
      <c r="K40" s="82">
        <f t="shared" ca="1" si="0"/>
        <v>27364</v>
      </c>
      <c r="L40" s="77"/>
      <c r="M40" s="82">
        <f t="shared" ca="1" si="1"/>
        <v>3347</v>
      </c>
      <c r="N40" s="76"/>
      <c r="O40" s="77"/>
      <c r="P40" s="82">
        <f t="shared" ca="1" si="2"/>
        <v>21993</v>
      </c>
      <c r="Q40" s="77"/>
      <c r="R40" s="21">
        <f t="shared" ca="1" si="3"/>
        <v>37</v>
      </c>
    </row>
    <row r="41" spans="1:26" x14ac:dyDescent="0.25">
      <c r="A41" s="81" t="s">
        <v>78</v>
      </c>
      <c r="B41" s="76"/>
      <c r="C41" s="76"/>
      <c r="D41" s="76"/>
      <c r="E41" s="77"/>
      <c r="F41" s="81" t="s">
        <v>77</v>
      </c>
      <c r="G41" s="76"/>
      <c r="H41" s="76"/>
      <c r="I41" s="77"/>
      <c r="J41" s="22"/>
      <c r="K41" s="82">
        <f t="shared" ca="1" si="0"/>
        <v>10393</v>
      </c>
      <c r="L41" s="77"/>
      <c r="M41" s="82">
        <f t="shared" ca="1" si="1"/>
        <v>6043</v>
      </c>
      <c r="N41" s="76"/>
      <c r="O41" s="77"/>
      <c r="P41" s="82">
        <f t="shared" ca="1" si="2"/>
        <v>9301</v>
      </c>
      <c r="Q41" s="77"/>
      <c r="R41" s="21">
        <f t="shared" ca="1" si="3"/>
        <v>71</v>
      </c>
    </row>
    <row r="42" spans="1:26" x14ac:dyDescent="0.25">
      <c r="A42" s="81" t="s">
        <v>42</v>
      </c>
      <c r="B42" s="76"/>
      <c r="C42" s="76"/>
      <c r="D42" s="76"/>
      <c r="E42" s="77"/>
      <c r="F42" s="81" t="s">
        <v>41</v>
      </c>
      <c r="G42" s="76"/>
      <c r="H42" s="76"/>
      <c r="I42" s="77"/>
      <c r="J42" s="22"/>
      <c r="K42" s="82">
        <f t="shared" ca="1" si="0"/>
        <v>12307</v>
      </c>
      <c r="L42" s="77"/>
      <c r="M42" s="82">
        <f t="shared" ca="1" si="1"/>
        <v>800</v>
      </c>
      <c r="N42" s="76"/>
      <c r="O42" s="77"/>
      <c r="P42" s="82">
        <f t="shared" ca="1" si="2"/>
        <v>11486</v>
      </c>
      <c r="Q42" s="77"/>
      <c r="R42" s="21">
        <f t="shared" ca="1" si="3"/>
        <v>4</v>
      </c>
    </row>
    <row r="43" spans="1:26" x14ac:dyDescent="0.25">
      <c r="A43" s="75" t="s">
        <v>22</v>
      </c>
      <c r="B43" s="76"/>
      <c r="C43" s="76"/>
      <c r="D43" s="76"/>
      <c r="E43" s="76"/>
      <c r="F43" s="76"/>
      <c r="G43" s="76"/>
      <c r="H43" s="76"/>
      <c r="I43" s="77"/>
      <c r="J43" s="20"/>
      <c r="K43" s="78">
        <f ca="1">SUM(K18:L42)</f>
        <v>379996</v>
      </c>
      <c r="L43" s="77"/>
      <c r="M43" s="78">
        <f ca="1">SUM(M18:O42)</f>
        <v>93180</v>
      </c>
      <c r="N43" s="76"/>
      <c r="O43" s="77"/>
      <c r="P43" s="78">
        <f ca="1">SUM(P18:Q42)</f>
        <v>306345</v>
      </c>
      <c r="Q43" s="77"/>
      <c r="R43" s="19">
        <f ca="1">SUM(R18:R42)</f>
        <v>1451</v>
      </c>
    </row>
    <row r="44" spans="1:26" ht="27" customHeight="1" x14ac:dyDescent="0.25">
      <c r="A44" s="79" t="s">
        <v>21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</sheetData>
  <mergeCells count="161">
    <mergeCell ref="A43:I43"/>
    <mergeCell ref="K43:L43"/>
    <mergeCell ref="M43:O43"/>
    <mergeCell ref="P43:Q43"/>
    <mergeCell ref="A44:Z44"/>
    <mergeCell ref="A42:E42"/>
    <mergeCell ref="F42:I42"/>
    <mergeCell ref="K42:L42"/>
    <mergeCell ref="M42:O42"/>
    <mergeCell ref="P42:Q42"/>
    <mergeCell ref="A41:E41"/>
    <mergeCell ref="F41:I41"/>
    <mergeCell ref="K41:L41"/>
    <mergeCell ref="M41:O41"/>
    <mergeCell ref="P41:Q41"/>
    <mergeCell ref="A40:E40"/>
    <mergeCell ref="F40:I40"/>
    <mergeCell ref="K40:L40"/>
    <mergeCell ref="M40:O40"/>
    <mergeCell ref="P40:Q40"/>
    <mergeCell ref="A39:E39"/>
    <mergeCell ref="F39:I39"/>
    <mergeCell ref="K39:L39"/>
    <mergeCell ref="M39:O39"/>
    <mergeCell ref="P39:Q39"/>
    <mergeCell ref="A38:E38"/>
    <mergeCell ref="F38:I38"/>
    <mergeCell ref="K38:L38"/>
    <mergeCell ref="M38:O38"/>
    <mergeCell ref="P38:Q38"/>
    <mergeCell ref="A37:E37"/>
    <mergeCell ref="F37:I37"/>
    <mergeCell ref="K37:L37"/>
    <mergeCell ref="M37:O37"/>
    <mergeCell ref="P37:Q37"/>
    <mergeCell ref="A36:E36"/>
    <mergeCell ref="F36:I36"/>
    <mergeCell ref="K36:L36"/>
    <mergeCell ref="M36:O36"/>
    <mergeCell ref="P36:Q36"/>
    <mergeCell ref="A35:E35"/>
    <mergeCell ref="F35:I35"/>
    <mergeCell ref="K35:L35"/>
    <mergeCell ref="M35:O35"/>
    <mergeCell ref="P35:Q35"/>
    <mergeCell ref="A34:E34"/>
    <mergeCell ref="F34:I34"/>
    <mergeCell ref="K34:L34"/>
    <mergeCell ref="M34:O34"/>
    <mergeCell ref="P34:Q34"/>
    <mergeCell ref="A33:E33"/>
    <mergeCell ref="F33:I33"/>
    <mergeCell ref="K33:L33"/>
    <mergeCell ref="M33:O33"/>
    <mergeCell ref="P33:Q33"/>
    <mergeCell ref="A32:E32"/>
    <mergeCell ref="F32:I32"/>
    <mergeCell ref="K32:L32"/>
    <mergeCell ref="M32:O32"/>
    <mergeCell ref="P32:Q32"/>
    <mergeCell ref="A31:E31"/>
    <mergeCell ref="F31:I31"/>
    <mergeCell ref="K31:L31"/>
    <mergeCell ref="M31:O31"/>
    <mergeCell ref="P31:Q31"/>
    <mergeCell ref="A30:E30"/>
    <mergeCell ref="F30:I30"/>
    <mergeCell ref="K30:L30"/>
    <mergeCell ref="M30:O30"/>
    <mergeCell ref="P30:Q30"/>
    <mergeCell ref="A29:E29"/>
    <mergeCell ref="F29:I29"/>
    <mergeCell ref="K29:L29"/>
    <mergeCell ref="M29:O29"/>
    <mergeCell ref="P29:Q29"/>
    <mergeCell ref="A28:E28"/>
    <mergeCell ref="F28:I28"/>
    <mergeCell ref="K28:L28"/>
    <mergeCell ref="M28:O28"/>
    <mergeCell ref="P28:Q28"/>
    <mergeCell ref="A27:E27"/>
    <mergeCell ref="F27:I27"/>
    <mergeCell ref="K27:L27"/>
    <mergeCell ref="M27:O27"/>
    <mergeCell ref="P27:Q27"/>
    <mergeCell ref="A26:E26"/>
    <mergeCell ref="F26:I26"/>
    <mergeCell ref="K26:L26"/>
    <mergeCell ref="M26:O26"/>
    <mergeCell ref="P26:Q26"/>
    <mergeCell ref="A25:E25"/>
    <mergeCell ref="F25:I25"/>
    <mergeCell ref="K25:L25"/>
    <mergeCell ref="M25:O25"/>
    <mergeCell ref="P25:Q25"/>
    <mergeCell ref="A24:E24"/>
    <mergeCell ref="F24:I24"/>
    <mergeCell ref="K24:L24"/>
    <mergeCell ref="M24:O24"/>
    <mergeCell ref="P24:Q24"/>
    <mergeCell ref="A23:E23"/>
    <mergeCell ref="F23:I23"/>
    <mergeCell ref="K23:L23"/>
    <mergeCell ref="M23:O23"/>
    <mergeCell ref="P23:Q23"/>
    <mergeCell ref="A22:E22"/>
    <mergeCell ref="F22:I22"/>
    <mergeCell ref="K22:L22"/>
    <mergeCell ref="M22:O22"/>
    <mergeCell ref="P22:Q22"/>
    <mergeCell ref="A21:E21"/>
    <mergeCell ref="F21:I21"/>
    <mergeCell ref="K21:L21"/>
    <mergeCell ref="M21:O21"/>
    <mergeCell ref="P21:Q21"/>
    <mergeCell ref="A20:E20"/>
    <mergeCell ref="F20:I20"/>
    <mergeCell ref="K20:L20"/>
    <mergeCell ref="M20:O20"/>
    <mergeCell ref="P20:Q20"/>
    <mergeCell ref="A19:E19"/>
    <mergeCell ref="F19:I19"/>
    <mergeCell ref="K19:L19"/>
    <mergeCell ref="M19:O19"/>
    <mergeCell ref="P19:Q19"/>
    <mergeCell ref="A18:E18"/>
    <mergeCell ref="F18:I18"/>
    <mergeCell ref="K18:L18"/>
    <mergeCell ref="M18:O18"/>
    <mergeCell ref="P18:Q18"/>
    <mergeCell ref="A17:E17"/>
    <mergeCell ref="F17:I17"/>
    <mergeCell ref="K17:L17"/>
    <mergeCell ref="M17:O17"/>
    <mergeCell ref="P17:Q17"/>
    <mergeCell ref="G13:H13"/>
    <mergeCell ref="I13:W13"/>
    <mergeCell ref="D14:G14"/>
    <mergeCell ref="H14:X14"/>
    <mergeCell ref="A15:H15"/>
    <mergeCell ref="C9:H9"/>
    <mergeCell ref="I9:W9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1:N3"/>
    <mergeCell ref="U4:V4"/>
    <mergeCell ref="A5:H5"/>
    <mergeCell ref="I5:W5"/>
    <mergeCell ref="A6:H6"/>
    <mergeCell ref="I6:W6"/>
    <mergeCell ref="A7:H7"/>
    <mergeCell ref="I7:W7"/>
    <mergeCell ref="G8:H8"/>
    <mergeCell ref="I8:W8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4DD3-0F4B-4120-9142-C635A8273C2F}">
  <dimension ref="A1:AA44"/>
  <sheetViews>
    <sheetView showGridLines="0" workbookViewId="0">
      <pane ySplit="4" topLeftCell="A15" activePane="bottomLeft" state="frozen"/>
      <selection pane="bottomLeft" activeCell="J43" sqref="J18:J43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409615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95968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1433</v>
      </c>
    </row>
    <row r="4" spans="1:27" ht="12.2" customHeight="1" x14ac:dyDescent="0.25">
      <c r="U4" s="88"/>
      <c r="V4" s="80"/>
      <c r="AA4" s="17">
        <f ca="1">AA2-AA3</f>
        <v>94535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45474</v>
      </c>
      <c r="J15" s="80"/>
      <c r="K15" s="80"/>
      <c r="L15" s="84" t="s">
        <v>17</v>
      </c>
      <c r="M15" s="80"/>
      <c r="N15" s="85">
        <v>45503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23898</v>
      </c>
      <c r="L18" s="77"/>
      <c r="M18" s="82">
        <f ca="1">RANDBETWEEN(0,7000)</f>
        <v>939</v>
      </c>
      <c r="N18" s="76"/>
      <c r="O18" s="77"/>
      <c r="P18" s="82">
        <f ca="1">RANDBETWEEN(0,25000)</f>
        <v>12270</v>
      </c>
      <c r="Q18" s="77"/>
      <c r="R18" s="21">
        <f ca="1">RANDBETWEEN(0,100)</f>
        <v>25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42" ca="1" si="0">RANDBETWEEN(0,32500)</f>
        <v>12095</v>
      </c>
      <c r="L19" s="77"/>
      <c r="M19" s="82">
        <f t="shared" ref="M19:M42" ca="1" si="1">RANDBETWEEN(0,7000)</f>
        <v>2675</v>
      </c>
      <c r="N19" s="76"/>
      <c r="O19" s="77"/>
      <c r="P19" s="82">
        <f t="shared" ref="P19:P42" ca="1" si="2">RANDBETWEEN(0,25000)</f>
        <v>21401</v>
      </c>
      <c r="Q19" s="77"/>
      <c r="R19" s="21">
        <f t="shared" ref="R19:R42" ca="1" si="3">RANDBETWEEN(0,100)</f>
        <v>3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23737</v>
      </c>
      <c r="L20" s="77"/>
      <c r="M20" s="82">
        <f t="shared" ca="1" si="1"/>
        <v>4790</v>
      </c>
      <c r="N20" s="76"/>
      <c r="O20" s="77"/>
      <c r="P20" s="82">
        <f t="shared" ca="1" si="2"/>
        <v>1386</v>
      </c>
      <c r="Q20" s="77"/>
      <c r="R20" s="21">
        <f t="shared" ca="1" si="3"/>
        <v>58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29860</v>
      </c>
      <c r="L21" s="77"/>
      <c r="M21" s="82">
        <f t="shared" ca="1" si="1"/>
        <v>3133</v>
      </c>
      <c r="N21" s="76"/>
      <c r="O21" s="77"/>
      <c r="P21" s="82">
        <f t="shared" ca="1" si="2"/>
        <v>13299</v>
      </c>
      <c r="Q21" s="77"/>
      <c r="R21" s="21">
        <f t="shared" ca="1" si="3"/>
        <v>23</v>
      </c>
    </row>
    <row r="22" spans="1:18" x14ac:dyDescent="0.25">
      <c r="A22" s="81" t="s">
        <v>30</v>
      </c>
      <c r="B22" s="76"/>
      <c r="C22" s="76"/>
      <c r="D22" s="76"/>
      <c r="E22" s="77"/>
      <c r="F22" s="81" t="s">
        <v>29</v>
      </c>
      <c r="G22" s="76"/>
      <c r="H22" s="76"/>
      <c r="I22" s="77"/>
      <c r="J22" s="22"/>
      <c r="K22" s="82">
        <f t="shared" ca="1" si="0"/>
        <v>7385</v>
      </c>
      <c r="L22" s="77"/>
      <c r="M22" s="82">
        <f t="shared" ca="1" si="1"/>
        <v>6858</v>
      </c>
      <c r="N22" s="76"/>
      <c r="O22" s="77"/>
      <c r="P22" s="82">
        <f t="shared" ca="1" si="2"/>
        <v>4091</v>
      </c>
      <c r="Q22" s="77"/>
      <c r="R22" s="21">
        <f t="shared" ca="1" si="3"/>
        <v>55</v>
      </c>
    </row>
    <row r="23" spans="1:18" x14ac:dyDescent="0.25">
      <c r="A23" s="81" t="s">
        <v>78</v>
      </c>
      <c r="B23" s="76"/>
      <c r="C23" s="76"/>
      <c r="D23" s="76"/>
      <c r="E23" s="77"/>
      <c r="F23" s="81" t="s">
        <v>77</v>
      </c>
      <c r="G23" s="76"/>
      <c r="H23" s="76"/>
      <c r="I23" s="77"/>
      <c r="J23" s="22"/>
      <c r="K23" s="82">
        <f t="shared" ca="1" si="0"/>
        <v>4497</v>
      </c>
      <c r="L23" s="77"/>
      <c r="M23" s="82">
        <f t="shared" ca="1" si="1"/>
        <v>564</v>
      </c>
      <c r="N23" s="76"/>
      <c r="O23" s="77"/>
      <c r="P23" s="82">
        <f t="shared" ca="1" si="2"/>
        <v>6231</v>
      </c>
      <c r="Q23" s="77"/>
      <c r="R23" s="21">
        <f t="shared" ca="1" si="3"/>
        <v>100</v>
      </c>
    </row>
    <row r="24" spans="1:18" x14ac:dyDescent="0.25">
      <c r="A24" s="81" t="s">
        <v>28</v>
      </c>
      <c r="B24" s="76"/>
      <c r="C24" s="76"/>
      <c r="D24" s="76"/>
      <c r="E24" s="77"/>
      <c r="F24" s="81" t="s">
        <v>27</v>
      </c>
      <c r="G24" s="76"/>
      <c r="H24" s="76"/>
      <c r="I24" s="77"/>
      <c r="J24" s="22"/>
      <c r="K24" s="82">
        <f t="shared" ca="1" si="0"/>
        <v>22109</v>
      </c>
      <c r="L24" s="77"/>
      <c r="M24" s="82">
        <f t="shared" ca="1" si="1"/>
        <v>6514</v>
      </c>
      <c r="N24" s="76"/>
      <c r="O24" s="77"/>
      <c r="P24" s="82">
        <f t="shared" ca="1" si="2"/>
        <v>14261</v>
      </c>
      <c r="Q24" s="77"/>
      <c r="R24" s="21">
        <f t="shared" ca="1" si="3"/>
        <v>37</v>
      </c>
    </row>
    <row r="25" spans="1:18" x14ac:dyDescent="0.25">
      <c r="A25" s="81" t="s">
        <v>70</v>
      </c>
      <c r="B25" s="76"/>
      <c r="C25" s="76"/>
      <c r="D25" s="76"/>
      <c r="E25" s="77"/>
      <c r="F25" s="81" t="s">
        <v>69</v>
      </c>
      <c r="G25" s="76"/>
      <c r="H25" s="76"/>
      <c r="I25" s="77"/>
      <c r="J25" s="22"/>
      <c r="K25" s="82">
        <f t="shared" ca="1" si="0"/>
        <v>4962</v>
      </c>
      <c r="L25" s="77"/>
      <c r="M25" s="82">
        <f t="shared" ca="1" si="1"/>
        <v>6590</v>
      </c>
      <c r="N25" s="76"/>
      <c r="O25" s="77"/>
      <c r="P25" s="82">
        <f t="shared" ca="1" si="2"/>
        <v>781</v>
      </c>
      <c r="Q25" s="77"/>
      <c r="R25" s="21">
        <f t="shared" ca="1" si="3"/>
        <v>55</v>
      </c>
    </row>
    <row r="26" spans="1:18" x14ac:dyDescent="0.25">
      <c r="A26" s="81" t="s">
        <v>26</v>
      </c>
      <c r="B26" s="76"/>
      <c r="C26" s="76"/>
      <c r="D26" s="76"/>
      <c r="E26" s="77"/>
      <c r="F26" s="81" t="s">
        <v>25</v>
      </c>
      <c r="G26" s="76"/>
      <c r="H26" s="76"/>
      <c r="I26" s="77"/>
      <c r="J26" s="22"/>
      <c r="K26" s="82">
        <f t="shared" ca="1" si="0"/>
        <v>29567</v>
      </c>
      <c r="L26" s="77"/>
      <c r="M26" s="82">
        <f t="shared" ca="1" si="1"/>
        <v>6663</v>
      </c>
      <c r="N26" s="76"/>
      <c r="O26" s="77"/>
      <c r="P26" s="82">
        <f t="shared" ca="1" si="2"/>
        <v>110</v>
      </c>
      <c r="Q26" s="77"/>
      <c r="R26" s="21">
        <f t="shared" ca="1" si="3"/>
        <v>25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32500</v>
      </c>
      <c r="L27" s="77"/>
      <c r="M27" s="82">
        <f t="shared" ca="1" si="1"/>
        <v>4560</v>
      </c>
      <c r="N27" s="76"/>
      <c r="O27" s="77"/>
      <c r="P27" s="82">
        <f t="shared" ca="1" si="2"/>
        <v>11550</v>
      </c>
      <c r="Q27" s="77"/>
      <c r="R27" s="21">
        <f t="shared" ca="1" si="3"/>
        <v>63</v>
      </c>
    </row>
    <row r="28" spans="1:18" x14ac:dyDescent="0.25">
      <c r="A28" s="81" t="s">
        <v>86</v>
      </c>
      <c r="B28" s="76"/>
      <c r="C28" s="76"/>
      <c r="D28" s="76"/>
      <c r="E28" s="77"/>
      <c r="F28" s="81" t="s">
        <v>85</v>
      </c>
      <c r="G28" s="76"/>
      <c r="H28" s="76"/>
      <c r="I28" s="77"/>
      <c r="J28" s="22"/>
      <c r="K28" s="82">
        <f t="shared" ca="1" si="0"/>
        <v>2635</v>
      </c>
      <c r="L28" s="77"/>
      <c r="M28" s="82">
        <f t="shared" ca="1" si="1"/>
        <v>73</v>
      </c>
      <c r="N28" s="76"/>
      <c r="O28" s="77"/>
      <c r="P28" s="82">
        <f t="shared" ca="1" si="2"/>
        <v>13640</v>
      </c>
      <c r="Q28" s="77"/>
      <c r="R28" s="21">
        <f t="shared" ca="1" si="3"/>
        <v>84</v>
      </c>
    </row>
    <row r="29" spans="1:18" x14ac:dyDescent="0.25">
      <c r="A29" s="81" t="s">
        <v>44</v>
      </c>
      <c r="B29" s="76"/>
      <c r="C29" s="76"/>
      <c r="D29" s="76"/>
      <c r="E29" s="77"/>
      <c r="F29" s="81" t="s">
        <v>43</v>
      </c>
      <c r="G29" s="76"/>
      <c r="H29" s="76"/>
      <c r="I29" s="77"/>
      <c r="J29" s="22"/>
      <c r="K29" s="82">
        <f t="shared" ca="1" si="0"/>
        <v>2319</v>
      </c>
      <c r="L29" s="77"/>
      <c r="M29" s="82">
        <f t="shared" ca="1" si="1"/>
        <v>6962</v>
      </c>
      <c r="N29" s="76"/>
      <c r="O29" s="77"/>
      <c r="P29" s="82">
        <f t="shared" ca="1" si="2"/>
        <v>6310</v>
      </c>
      <c r="Q29" s="77"/>
      <c r="R29" s="21">
        <f t="shared" ca="1" si="3"/>
        <v>51</v>
      </c>
    </row>
    <row r="30" spans="1:18" x14ac:dyDescent="0.25">
      <c r="A30" s="81" t="s">
        <v>26</v>
      </c>
      <c r="B30" s="76"/>
      <c r="C30" s="76"/>
      <c r="D30" s="76"/>
      <c r="E30" s="77"/>
      <c r="F30" s="81" t="s">
        <v>25</v>
      </c>
      <c r="G30" s="76"/>
      <c r="H30" s="76"/>
      <c r="I30" s="77"/>
      <c r="J30" s="22"/>
      <c r="K30" s="82">
        <f t="shared" ca="1" si="0"/>
        <v>22669</v>
      </c>
      <c r="L30" s="77"/>
      <c r="M30" s="82">
        <f t="shared" ca="1" si="1"/>
        <v>5669</v>
      </c>
      <c r="N30" s="76"/>
      <c r="O30" s="77"/>
      <c r="P30" s="82">
        <f t="shared" ca="1" si="2"/>
        <v>6027</v>
      </c>
      <c r="Q30" s="77"/>
      <c r="R30" s="21">
        <f t="shared" ca="1" si="3"/>
        <v>68</v>
      </c>
    </row>
    <row r="31" spans="1:18" x14ac:dyDescent="0.25">
      <c r="A31" s="81" t="s">
        <v>42</v>
      </c>
      <c r="B31" s="76"/>
      <c r="C31" s="76"/>
      <c r="D31" s="76"/>
      <c r="E31" s="77"/>
      <c r="F31" s="81" t="s">
        <v>41</v>
      </c>
      <c r="G31" s="76"/>
      <c r="H31" s="76"/>
      <c r="I31" s="77"/>
      <c r="J31" s="22"/>
      <c r="K31" s="82">
        <f t="shared" ca="1" si="0"/>
        <v>8131</v>
      </c>
      <c r="L31" s="77"/>
      <c r="M31" s="82">
        <f t="shared" ca="1" si="1"/>
        <v>1038</v>
      </c>
      <c r="N31" s="76"/>
      <c r="O31" s="77"/>
      <c r="P31" s="82">
        <f t="shared" ca="1" si="2"/>
        <v>14577</v>
      </c>
      <c r="Q31" s="77"/>
      <c r="R31" s="21">
        <f t="shared" ca="1" si="3"/>
        <v>30</v>
      </c>
    </row>
    <row r="32" spans="1:18" x14ac:dyDescent="0.25">
      <c r="A32" s="81" t="s">
        <v>24</v>
      </c>
      <c r="B32" s="76"/>
      <c r="C32" s="76"/>
      <c r="D32" s="76"/>
      <c r="E32" s="77"/>
      <c r="F32" s="81" t="s">
        <v>23</v>
      </c>
      <c r="G32" s="76"/>
      <c r="H32" s="76"/>
      <c r="I32" s="77"/>
      <c r="J32" s="22"/>
      <c r="K32" s="82">
        <f t="shared" ca="1" si="0"/>
        <v>18178</v>
      </c>
      <c r="L32" s="77"/>
      <c r="M32" s="82">
        <f t="shared" ca="1" si="1"/>
        <v>5301</v>
      </c>
      <c r="N32" s="76"/>
      <c r="O32" s="77"/>
      <c r="P32" s="82">
        <f t="shared" ca="1" si="2"/>
        <v>22922</v>
      </c>
      <c r="Q32" s="77"/>
      <c r="R32" s="21">
        <f t="shared" ca="1" si="3"/>
        <v>73</v>
      </c>
    </row>
    <row r="33" spans="1:26" x14ac:dyDescent="0.25">
      <c r="A33" s="81" t="s">
        <v>70</v>
      </c>
      <c r="B33" s="76"/>
      <c r="C33" s="76"/>
      <c r="D33" s="76"/>
      <c r="E33" s="77"/>
      <c r="F33" s="81" t="s">
        <v>69</v>
      </c>
      <c r="G33" s="76"/>
      <c r="H33" s="76"/>
      <c r="I33" s="77"/>
      <c r="J33" s="22"/>
      <c r="K33" s="82">
        <f t="shared" ca="1" si="0"/>
        <v>12563</v>
      </c>
      <c r="L33" s="77"/>
      <c r="M33" s="82">
        <f t="shared" ca="1" si="1"/>
        <v>1175</v>
      </c>
      <c r="N33" s="76"/>
      <c r="O33" s="77"/>
      <c r="P33" s="82">
        <f t="shared" ca="1" si="2"/>
        <v>4125</v>
      </c>
      <c r="Q33" s="77"/>
      <c r="R33" s="21">
        <f t="shared" ca="1" si="3"/>
        <v>65</v>
      </c>
    </row>
    <row r="34" spans="1:26" x14ac:dyDescent="0.25">
      <c r="A34" s="81" t="s">
        <v>30</v>
      </c>
      <c r="B34" s="76"/>
      <c r="C34" s="76"/>
      <c r="D34" s="76"/>
      <c r="E34" s="77"/>
      <c r="F34" s="81" t="s">
        <v>29</v>
      </c>
      <c r="G34" s="76"/>
      <c r="H34" s="76"/>
      <c r="I34" s="77"/>
      <c r="J34" s="22"/>
      <c r="K34" s="82">
        <f t="shared" ca="1" si="0"/>
        <v>22514</v>
      </c>
      <c r="L34" s="77"/>
      <c r="M34" s="82">
        <f t="shared" ca="1" si="1"/>
        <v>3074</v>
      </c>
      <c r="N34" s="76"/>
      <c r="O34" s="77"/>
      <c r="P34" s="82">
        <f t="shared" ca="1" si="2"/>
        <v>53</v>
      </c>
      <c r="Q34" s="77"/>
      <c r="R34" s="21">
        <f t="shared" ca="1" si="3"/>
        <v>59</v>
      </c>
    </row>
    <row r="35" spans="1:26" x14ac:dyDescent="0.25">
      <c r="A35" s="81" t="s">
        <v>28</v>
      </c>
      <c r="B35" s="76"/>
      <c r="C35" s="76"/>
      <c r="D35" s="76"/>
      <c r="E35" s="77"/>
      <c r="F35" s="81" t="s">
        <v>27</v>
      </c>
      <c r="G35" s="76"/>
      <c r="H35" s="76"/>
      <c r="I35" s="77"/>
      <c r="J35" s="22"/>
      <c r="K35" s="82">
        <f t="shared" ca="1" si="0"/>
        <v>19499</v>
      </c>
      <c r="L35" s="77"/>
      <c r="M35" s="82">
        <f t="shared" ca="1" si="1"/>
        <v>5342</v>
      </c>
      <c r="N35" s="76"/>
      <c r="O35" s="77"/>
      <c r="P35" s="82">
        <f t="shared" ca="1" si="2"/>
        <v>5475</v>
      </c>
      <c r="Q35" s="77"/>
      <c r="R35" s="21">
        <f t="shared" ca="1" si="3"/>
        <v>86</v>
      </c>
    </row>
    <row r="36" spans="1:26" x14ac:dyDescent="0.25">
      <c r="A36" s="81" t="s">
        <v>28</v>
      </c>
      <c r="B36" s="76"/>
      <c r="C36" s="76"/>
      <c r="D36" s="76"/>
      <c r="E36" s="77"/>
      <c r="F36" s="81" t="s">
        <v>27</v>
      </c>
      <c r="G36" s="76"/>
      <c r="H36" s="76"/>
      <c r="I36" s="77"/>
      <c r="J36" s="22"/>
      <c r="K36" s="82">
        <f t="shared" ca="1" si="0"/>
        <v>7707</v>
      </c>
      <c r="L36" s="77"/>
      <c r="M36" s="82">
        <f t="shared" ca="1" si="1"/>
        <v>4020</v>
      </c>
      <c r="N36" s="76"/>
      <c r="O36" s="77"/>
      <c r="P36" s="82">
        <f t="shared" ca="1" si="2"/>
        <v>16829</v>
      </c>
      <c r="Q36" s="77"/>
      <c r="R36" s="21">
        <f t="shared" ca="1" si="3"/>
        <v>86</v>
      </c>
    </row>
    <row r="37" spans="1:26" x14ac:dyDescent="0.25">
      <c r="A37" s="81" t="s">
        <v>40</v>
      </c>
      <c r="B37" s="76"/>
      <c r="C37" s="76"/>
      <c r="D37" s="76"/>
      <c r="E37" s="77"/>
      <c r="F37" s="81" t="s">
        <v>39</v>
      </c>
      <c r="G37" s="76"/>
      <c r="H37" s="76"/>
      <c r="I37" s="77"/>
      <c r="J37" s="22"/>
      <c r="K37" s="82">
        <f t="shared" ca="1" si="0"/>
        <v>10601</v>
      </c>
      <c r="L37" s="77"/>
      <c r="M37" s="82">
        <f t="shared" ca="1" si="1"/>
        <v>4165</v>
      </c>
      <c r="N37" s="76"/>
      <c r="O37" s="77"/>
      <c r="P37" s="82">
        <f t="shared" ca="1" si="2"/>
        <v>21581</v>
      </c>
      <c r="Q37" s="77"/>
      <c r="R37" s="21">
        <f t="shared" ca="1" si="3"/>
        <v>94</v>
      </c>
    </row>
    <row r="38" spans="1:26" x14ac:dyDescent="0.25">
      <c r="A38" s="81" t="s">
        <v>34</v>
      </c>
      <c r="B38" s="76"/>
      <c r="C38" s="76"/>
      <c r="D38" s="76"/>
      <c r="E38" s="77"/>
      <c r="F38" s="81" t="s">
        <v>33</v>
      </c>
      <c r="G38" s="76"/>
      <c r="H38" s="76"/>
      <c r="I38" s="77"/>
      <c r="J38" s="22"/>
      <c r="K38" s="82">
        <f t="shared" ca="1" si="0"/>
        <v>22408</v>
      </c>
      <c r="L38" s="77"/>
      <c r="M38" s="82">
        <f t="shared" ca="1" si="1"/>
        <v>3708</v>
      </c>
      <c r="N38" s="76"/>
      <c r="O38" s="77"/>
      <c r="P38" s="82">
        <f t="shared" ca="1" si="2"/>
        <v>10837</v>
      </c>
      <c r="Q38" s="77"/>
      <c r="R38" s="21">
        <f t="shared" ca="1" si="3"/>
        <v>92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10690</v>
      </c>
      <c r="L39" s="77"/>
      <c r="M39" s="82">
        <f t="shared" ca="1" si="1"/>
        <v>3500</v>
      </c>
      <c r="N39" s="76"/>
      <c r="O39" s="77"/>
      <c r="P39" s="82">
        <f t="shared" ca="1" si="2"/>
        <v>7625</v>
      </c>
      <c r="Q39" s="77"/>
      <c r="R39" s="21">
        <f t="shared" ca="1" si="3"/>
        <v>17</v>
      </c>
    </row>
    <row r="40" spans="1:26" x14ac:dyDescent="0.25">
      <c r="A40" s="81" t="s">
        <v>32</v>
      </c>
      <c r="B40" s="76"/>
      <c r="C40" s="76"/>
      <c r="D40" s="76"/>
      <c r="E40" s="77"/>
      <c r="F40" s="81" t="s">
        <v>31</v>
      </c>
      <c r="G40" s="76"/>
      <c r="H40" s="76"/>
      <c r="I40" s="77"/>
      <c r="J40" s="22"/>
      <c r="K40" s="82">
        <f t="shared" ca="1" si="0"/>
        <v>23246</v>
      </c>
      <c r="L40" s="77"/>
      <c r="M40" s="82">
        <f t="shared" ca="1" si="1"/>
        <v>2925</v>
      </c>
      <c r="N40" s="76"/>
      <c r="O40" s="77"/>
      <c r="P40" s="82">
        <f t="shared" ca="1" si="2"/>
        <v>12893</v>
      </c>
      <c r="Q40" s="77"/>
      <c r="R40" s="21">
        <f t="shared" ca="1" si="3"/>
        <v>89</v>
      </c>
    </row>
    <row r="41" spans="1:26" x14ac:dyDescent="0.25">
      <c r="A41" s="81" t="s">
        <v>78</v>
      </c>
      <c r="B41" s="76"/>
      <c r="C41" s="76"/>
      <c r="D41" s="76"/>
      <c r="E41" s="77"/>
      <c r="F41" s="81" t="s">
        <v>77</v>
      </c>
      <c r="G41" s="76"/>
      <c r="H41" s="76"/>
      <c r="I41" s="77"/>
      <c r="J41" s="22"/>
      <c r="K41" s="82">
        <f t="shared" ca="1" si="0"/>
        <v>22761</v>
      </c>
      <c r="L41" s="77"/>
      <c r="M41" s="82">
        <f t="shared" ca="1" si="1"/>
        <v>4414</v>
      </c>
      <c r="N41" s="76"/>
      <c r="O41" s="77"/>
      <c r="P41" s="82">
        <f t="shared" ca="1" si="2"/>
        <v>12971</v>
      </c>
      <c r="Q41" s="77"/>
      <c r="R41" s="21">
        <f t="shared" ca="1" si="3"/>
        <v>95</v>
      </c>
    </row>
    <row r="42" spans="1:26" x14ac:dyDescent="0.25">
      <c r="A42" s="81" t="s">
        <v>42</v>
      </c>
      <c r="B42" s="76"/>
      <c r="C42" s="76"/>
      <c r="D42" s="76"/>
      <c r="E42" s="77"/>
      <c r="F42" s="81" t="s">
        <v>41</v>
      </c>
      <c r="G42" s="76"/>
      <c r="H42" s="76"/>
      <c r="I42" s="77"/>
      <c r="J42" s="22"/>
      <c r="K42" s="82">
        <f t="shared" ca="1" si="0"/>
        <v>13084</v>
      </c>
      <c r="L42" s="77"/>
      <c r="M42" s="82">
        <f t="shared" ca="1" si="1"/>
        <v>1316</v>
      </c>
      <c r="N42" s="76"/>
      <c r="O42" s="77"/>
      <c r="P42" s="82">
        <f t="shared" ca="1" si="2"/>
        <v>6937</v>
      </c>
      <c r="Q42" s="77"/>
      <c r="R42" s="21">
        <f t="shared" ca="1" si="3"/>
        <v>0</v>
      </c>
    </row>
    <row r="43" spans="1:26" x14ac:dyDescent="0.25">
      <c r="A43" s="75" t="s">
        <v>22</v>
      </c>
      <c r="B43" s="76"/>
      <c r="C43" s="76"/>
      <c r="D43" s="76"/>
      <c r="E43" s="76"/>
      <c r="F43" s="76"/>
      <c r="G43" s="76"/>
      <c r="H43" s="76"/>
      <c r="I43" s="77"/>
      <c r="J43" s="20"/>
      <c r="K43" s="78">
        <f ca="1">SUM(K18:L42)</f>
        <v>409615</v>
      </c>
      <c r="L43" s="77"/>
      <c r="M43" s="78">
        <f ca="1">SUM(M18:O42)</f>
        <v>95968</v>
      </c>
      <c r="N43" s="76"/>
      <c r="O43" s="77"/>
      <c r="P43" s="78">
        <f ca="1">SUM(P18:Q42)</f>
        <v>248182</v>
      </c>
      <c r="Q43" s="77"/>
      <c r="R43" s="19">
        <f ca="1">SUM(R18:R42)</f>
        <v>1433</v>
      </c>
    </row>
    <row r="44" spans="1:26" ht="27" customHeight="1" x14ac:dyDescent="0.25">
      <c r="A44" s="79" t="s">
        <v>21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</sheetData>
  <mergeCells count="161">
    <mergeCell ref="A43:I43"/>
    <mergeCell ref="K43:L43"/>
    <mergeCell ref="M43:O43"/>
    <mergeCell ref="P43:Q43"/>
    <mergeCell ref="A44:Z44"/>
    <mergeCell ref="A41:E41"/>
    <mergeCell ref="F41:I41"/>
    <mergeCell ref="K41:L41"/>
    <mergeCell ref="M41:O41"/>
    <mergeCell ref="P41:Q41"/>
    <mergeCell ref="A42:E42"/>
    <mergeCell ref="F42:I42"/>
    <mergeCell ref="K42:L42"/>
    <mergeCell ref="M42:O42"/>
    <mergeCell ref="P42:Q42"/>
    <mergeCell ref="A39:E39"/>
    <mergeCell ref="F39:I39"/>
    <mergeCell ref="K39:L39"/>
    <mergeCell ref="M39:O39"/>
    <mergeCell ref="P39:Q39"/>
    <mergeCell ref="A40:E40"/>
    <mergeCell ref="F40:I40"/>
    <mergeCell ref="K40:L40"/>
    <mergeCell ref="M40:O40"/>
    <mergeCell ref="P40:Q40"/>
    <mergeCell ref="A37:E37"/>
    <mergeCell ref="F37:I37"/>
    <mergeCell ref="K37:L37"/>
    <mergeCell ref="M37:O37"/>
    <mergeCell ref="P37:Q37"/>
    <mergeCell ref="A38:E38"/>
    <mergeCell ref="F38:I38"/>
    <mergeCell ref="K38:L38"/>
    <mergeCell ref="M38:O38"/>
    <mergeCell ref="P38:Q38"/>
    <mergeCell ref="A35:E35"/>
    <mergeCell ref="F35:I35"/>
    <mergeCell ref="K35:L35"/>
    <mergeCell ref="M35:O35"/>
    <mergeCell ref="P35:Q35"/>
    <mergeCell ref="A36:E36"/>
    <mergeCell ref="F36:I36"/>
    <mergeCell ref="K36:L36"/>
    <mergeCell ref="M36:O36"/>
    <mergeCell ref="P36:Q36"/>
    <mergeCell ref="A33:E33"/>
    <mergeCell ref="F33:I33"/>
    <mergeCell ref="K33:L33"/>
    <mergeCell ref="M33:O33"/>
    <mergeCell ref="P33:Q33"/>
    <mergeCell ref="A34:E34"/>
    <mergeCell ref="F34:I34"/>
    <mergeCell ref="K34:L34"/>
    <mergeCell ref="M34:O34"/>
    <mergeCell ref="P34:Q34"/>
    <mergeCell ref="A31:E31"/>
    <mergeCell ref="F31:I31"/>
    <mergeCell ref="K31:L31"/>
    <mergeCell ref="M31:O31"/>
    <mergeCell ref="P31:Q31"/>
    <mergeCell ref="A32:E32"/>
    <mergeCell ref="F32:I32"/>
    <mergeCell ref="K32:L32"/>
    <mergeCell ref="M32:O32"/>
    <mergeCell ref="P32:Q32"/>
    <mergeCell ref="A29:E29"/>
    <mergeCell ref="F29:I29"/>
    <mergeCell ref="K29:L29"/>
    <mergeCell ref="M29:O29"/>
    <mergeCell ref="P29:Q29"/>
    <mergeCell ref="A30:E30"/>
    <mergeCell ref="F30:I30"/>
    <mergeCell ref="K30:L30"/>
    <mergeCell ref="M30:O30"/>
    <mergeCell ref="P30:Q30"/>
    <mergeCell ref="A27:E27"/>
    <mergeCell ref="F27:I27"/>
    <mergeCell ref="K27:L27"/>
    <mergeCell ref="M27:O27"/>
    <mergeCell ref="P27:Q27"/>
    <mergeCell ref="A28:E28"/>
    <mergeCell ref="F28:I28"/>
    <mergeCell ref="K28:L28"/>
    <mergeCell ref="M28:O28"/>
    <mergeCell ref="P28:Q28"/>
    <mergeCell ref="A25:E25"/>
    <mergeCell ref="F25:I25"/>
    <mergeCell ref="K25:L25"/>
    <mergeCell ref="M25:O25"/>
    <mergeCell ref="P25:Q25"/>
    <mergeCell ref="A26:E26"/>
    <mergeCell ref="F26:I26"/>
    <mergeCell ref="K26:L26"/>
    <mergeCell ref="M26:O26"/>
    <mergeCell ref="P26:Q26"/>
    <mergeCell ref="A23:E23"/>
    <mergeCell ref="F23:I23"/>
    <mergeCell ref="K23:L23"/>
    <mergeCell ref="M23:O23"/>
    <mergeCell ref="P23:Q23"/>
    <mergeCell ref="A24:E24"/>
    <mergeCell ref="F24:I24"/>
    <mergeCell ref="K24:L24"/>
    <mergeCell ref="M24:O24"/>
    <mergeCell ref="P24:Q24"/>
    <mergeCell ref="A21:E21"/>
    <mergeCell ref="F21:I21"/>
    <mergeCell ref="K21:L21"/>
    <mergeCell ref="M21:O21"/>
    <mergeCell ref="P21:Q21"/>
    <mergeCell ref="A22:E22"/>
    <mergeCell ref="F22:I22"/>
    <mergeCell ref="K22:L22"/>
    <mergeCell ref="M22:O22"/>
    <mergeCell ref="P22:Q22"/>
    <mergeCell ref="A19:E19"/>
    <mergeCell ref="F19:I19"/>
    <mergeCell ref="K19:L19"/>
    <mergeCell ref="M19:O19"/>
    <mergeCell ref="P19:Q19"/>
    <mergeCell ref="A20:E20"/>
    <mergeCell ref="F20:I20"/>
    <mergeCell ref="K20:L20"/>
    <mergeCell ref="M20:O20"/>
    <mergeCell ref="P20:Q20"/>
    <mergeCell ref="A17:E17"/>
    <mergeCell ref="F17:I17"/>
    <mergeCell ref="K17:L17"/>
    <mergeCell ref="M17:O17"/>
    <mergeCell ref="P17:Q17"/>
    <mergeCell ref="A18:E18"/>
    <mergeCell ref="F18:I18"/>
    <mergeCell ref="K18:L18"/>
    <mergeCell ref="M18:O18"/>
    <mergeCell ref="P18:Q18"/>
    <mergeCell ref="G13:H13"/>
    <mergeCell ref="I13:W13"/>
    <mergeCell ref="D14:G14"/>
    <mergeCell ref="H14:X14"/>
    <mergeCell ref="A15:H15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7:H7"/>
    <mergeCell ref="I7:W7"/>
    <mergeCell ref="G8:H8"/>
    <mergeCell ref="I8:W8"/>
    <mergeCell ref="C9:H9"/>
    <mergeCell ref="I9:W9"/>
    <mergeCell ref="A1:N3"/>
    <mergeCell ref="U4:V4"/>
    <mergeCell ref="A5:H5"/>
    <mergeCell ref="I5:W5"/>
    <mergeCell ref="A6:H6"/>
    <mergeCell ref="I6:W6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E221-DD19-475F-B71B-5B24ED89CF40}">
  <dimension ref="A1:AA44"/>
  <sheetViews>
    <sheetView showGridLines="0" workbookViewId="0">
      <pane ySplit="4" topLeftCell="A15" activePane="bottomLeft" state="frozen"/>
      <selection pane="bottomLeft" activeCell="J18" sqref="J18:J43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418356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64992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1301</v>
      </c>
    </row>
    <row r="4" spans="1:27" ht="12.2" customHeight="1" x14ac:dyDescent="0.25">
      <c r="U4" s="88"/>
      <c r="V4" s="80"/>
      <c r="AA4" s="17">
        <f ca="1">AA2-AA3</f>
        <v>63691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45505</v>
      </c>
      <c r="J15" s="80"/>
      <c r="K15" s="80"/>
      <c r="L15" s="84" t="s">
        <v>17</v>
      </c>
      <c r="M15" s="80"/>
      <c r="N15" s="85">
        <v>45534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6201</v>
      </c>
      <c r="L18" s="77"/>
      <c r="M18" s="82">
        <f ca="1">RANDBETWEEN(0,7000)</f>
        <v>1831</v>
      </c>
      <c r="N18" s="76"/>
      <c r="O18" s="77"/>
      <c r="P18" s="82">
        <f ca="1">RANDBETWEEN(0,25000)</f>
        <v>8022</v>
      </c>
      <c r="Q18" s="77"/>
      <c r="R18" s="21">
        <f ca="1">RANDBETWEEN(0,100)</f>
        <v>95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42" ca="1" si="0">RANDBETWEEN(0,32500)</f>
        <v>8296</v>
      </c>
      <c r="L19" s="77"/>
      <c r="M19" s="82">
        <f t="shared" ref="M19:M42" ca="1" si="1">RANDBETWEEN(0,7000)</f>
        <v>4643</v>
      </c>
      <c r="N19" s="76"/>
      <c r="O19" s="77"/>
      <c r="P19" s="82">
        <f t="shared" ref="P19:P42" ca="1" si="2">RANDBETWEEN(0,25000)</f>
        <v>23576</v>
      </c>
      <c r="Q19" s="77"/>
      <c r="R19" s="21">
        <f t="shared" ref="R19:R42" ca="1" si="3">RANDBETWEEN(0,100)</f>
        <v>23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12305</v>
      </c>
      <c r="L20" s="77"/>
      <c r="M20" s="82">
        <f t="shared" ca="1" si="1"/>
        <v>835</v>
      </c>
      <c r="N20" s="76"/>
      <c r="O20" s="77"/>
      <c r="P20" s="82">
        <f t="shared" ca="1" si="2"/>
        <v>10618</v>
      </c>
      <c r="Q20" s="77"/>
      <c r="R20" s="21">
        <f t="shared" ca="1" si="3"/>
        <v>33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32210</v>
      </c>
      <c r="L21" s="77"/>
      <c r="M21" s="82">
        <f t="shared" ca="1" si="1"/>
        <v>2183</v>
      </c>
      <c r="N21" s="76"/>
      <c r="O21" s="77"/>
      <c r="P21" s="82">
        <f t="shared" ca="1" si="2"/>
        <v>12698</v>
      </c>
      <c r="Q21" s="77"/>
      <c r="R21" s="21">
        <f t="shared" ca="1" si="3"/>
        <v>20</v>
      </c>
    </row>
    <row r="22" spans="1:18" x14ac:dyDescent="0.25">
      <c r="A22" s="81" t="s">
        <v>30</v>
      </c>
      <c r="B22" s="76"/>
      <c r="C22" s="76"/>
      <c r="D22" s="76"/>
      <c r="E22" s="77"/>
      <c r="F22" s="81" t="s">
        <v>29</v>
      </c>
      <c r="G22" s="76"/>
      <c r="H22" s="76"/>
      <c r="I22" s="77"/>
      <c r="J22" s="22"/>
      <c r="K22" s="82">
        <f t="shared" ca="1" si="0"/>
        <v>26179</v>
      </c>
      <c r="L22" s="77"/>
      <c r="M22" s="82">
        <f t="shared" ca="1" si="1"/>
        <v>6315</v>
      </c>
      <c r="N22" s="76"/>
      <c r="O22" s="77"/>
      <c r="P22" s="82">
        <f t="shared" ca="1" si="2"/>
        <v>11148</v>
      </c>
      <c r="Q22" s="77"/>
      <c r="R22" s="21">
        <f t="shared" ca="1" si="3"/>
        <v>30</v>
      </c>
    </row>
    <row r="23" spans="1:18" x14ac:dyDescent="0.25">
      <c r="A23" s="81" t="s">
        <v>78</v>
      </c>
      <c r="B23" s="76"/>
      <c r="C23" s="76"/>
      <c r="D23" s="76"/>
      <c r="E23" s="77"/>
      <c r="F23" s="81" t="s">
        <v>77</v>
      </c>
      <c r="G23" s="76"/>
      <c r="H23" s="76"/>
      <c r="I23" s="77"/>
      <c r="J23" s="22"/>
      <c r="K23" s="82">
        <f t="shared" ca="1" si="0"/>
        <v>16566</v>
      </c>
      <c r="L23" s="77"/>
      <c r="M23" s="82">
        <f t="shared" ca="1" si="1"/>
        <v>2787</v>
      </c>
      <c r="N23" s="76"/>
      <c r="O23" s="77"/>
      <c r="P23" s="82">
        <f t="shared" ca="1" si="2"/>
        <v>16004</v>
      </c>
      <c r="Q23" s="77"/>
      <c r="R23" s="21">
        <f t="shared" ca="1" si="3"/>
        <v>72</v>
      </c>
    </row>
    <row r="24" spans="1:18" x14ac:dyDescent="0.25">
      <c r="A24" s="81" t="s">
        <v>28</v>
      </c>
      <c r="B24" s="76"/>
      <c r="C24" s="76"/>
      <c r="D24" s="76"/>
      <c r="E24" s="77"/>
      <c r="F24" s="81" t="s">
        <v>27</v>
      </c>
      <c r="G24" s="76"/>
      <c r="H24" s="76"/>
      <c r="I24" s="77"/>
      <c r="J24" s="22"/>
      <c r="K24" s="82">
        <f t="shared" ca="1" si="0"/>
        <v>11774</v>
      </c>
      <c r="L24" s="77"/>
      <c r="M24" s="82">
        <f t="shared" ca="1" si="1"/>
        <v>5148</v>
      </c>
      <c r="N24" s="76"/>
      <c r="O24" s="77"/>
      <c r="P24" s="82">
        <f t="shared" ca="1" si="2"/>
        <v>18228</v>
      </c>
      <c r="Q24" s="77"/>
      <c r="R24" s="21">
        <f t="shared" ca="1" si="3"/>
        <v>88</v>
      </c>
    </row>
    <row r="25" spans="1:18" x14ac:dyDescent="0.25">
      <c r="A25" s="81" t="s">
        <v>70</v>
      </c>
      <c r="B25" s="76"/>
      <c r="C25" s="76"/>
      <c r="D25" s="76"/>
      <c r="E25" s="77"/>
      <c r="F25" s="81" t="s">
        <v>69</v>
      </c>
      <c r="G25" s="76"/>
      <c r="H25" s="76"/>
      <c r="I25" s="77"/>
      <c r="J25" s="22"/>
      <c r="K25" s="82">
        <f t="shared" ca="1" si="0"/>
        <v>5527</v>
      </c>
      <c r="L25" s="77"/>
      <c r="M25" s="82">
        <f t="shared" ca="1" si="1"/>
        <v>2114</v>
      </c>
      <c r="N25" s="76"/>
      <c r="O25" s="77"/>
      <c r="P25" s="82">
        <f t="shared" ca="1" si="2"/>
        <v>17818</v>
      </c>
      <c r="Q25" s="77"/>
      <c r="R25" s="21">
        <f t="shared" ca="1" si="3"/>
        <v>35</v>
      </c>
    </row>
    <row r="26" spans="1:18" x14ac:dyDescent="0.25">
      <c r="A26" s="81" t="s">
        <v>26</v>
      </c>
      <c r="B26" s="76"/>
      <c r="C26" s="76"/>
      <c r="D26" s="76"/>
      <c r="E26" s="77"/>
      <c r="F26" s="81" t="s">
        <v>25</v>
      </c>
      <c r="G26" s="76"/>
      <c r="H26" s="76"/>
      <c r="I26" s="77"/>
      <c r="J26" s="22"/>
      <c r="K26" s="82">
        <f t="shared" ca="1" si="0"/>
        <v>685</v>
      </c>
      <c r="L26" s="77"/>
      <c r="M26" s="82">
        <f t="shared" ca="1" si="1"/>
        <v>847</v>
      </c>
      <c r="N26" s="76"/>
      <c r="O26" s="77"/>
      <c r="P26" s="82">
        <f t="shared" ca="1" si="2"/>
        <v>6526</v>
      </c>
      <c r="Q26" s="77"/>
      <c r="R26" s="21">
        <f t="shared" ca="1" si="3"/>
        <v>77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12929</v>
      </c>
      <c r="L27" s="77"/>
      <c r="M27" s="82">
        <f t="shared" ca="1" si="1"/>
        <v>3120</v>
      </c>
      <c r="N27" s="76"/>
      <c r="O27" s="77"/>
      <c r="P27" s="82">
        <f t="shared" ca="1" si="2"/>
        <v>21979</v>
      </c>
      <c r="Q27" s="77"/>
      <c r="R27" s="21">
        <f t="shared" ca="1" si="3"/>
        <v>71</v>
      </c>
    </row>
    <row r="28" spans="1:18" x14ac:dyDescent="0.25">
      <c r="A28" s="81" t="s">
        <v>86</v>
      </c>
      <c r="B28" s="76"/>
      <c r="C28" s="76"/>
      <c r="D28" s="76"/>
      <c r="E28" s="77"/>
      <c r="F28" s="81" t="s">
        <v>85</v>
      </c>
      <c r="G28" s="76"/>
      <c r="H28" s="76"/>
      <c r="I28" s="77"/>
      <c r="J28" s="22"/>
      <c r="K28" s="82">
        <f t="shared" ca="1" si="0"/>
        <v>20355</v>
      </c>
      <c r="L28" s="77"/>
      <c r="M28" s="82">
        <f t="shared" ca="1" si="1"/>
        <v>2844</v>
      </c>
      <c r="N28" s="76"/>
      <c r="O28" s="77"/>
      <c r="P28" s="82">
        <f t="shared" ca="1" si="2"/>
        <v>21874</v>
      </c>
      <c r="Q28" s="77"/>
      <c r="R28" s="21">
        <f t="shared" ca="1" si="3"/>
        <v>81</v>
      </c>
    </row>
    <row r="29" spans="1:18" x14ac:dyDescent="0.25">
      <c r="A29" s="81" t="s">
        <v>44</v>
      </c>
      <c r="B29" s="76"/>
      <c r="C29" s="76"/>
      <c r="D29" s="76"/>
      <c r="E29" s="77"/>
      <c r="F29" s="81" t="s">
        <v>43</v>
      </c>
      <c r="G29" s="76"/>
      <c r="H29" s="76"/>
      <c r="I29" s="77"/>
      <c r="J29" s="22"/>
      <c r="K29" s="82">
        <f t="shared" ca="1" si="0"/>
        <v>30680</v>
      </c>
      <c r="L29" s="77"/>
      <c r="M29" s="82">
        <f t="shared" ca="1" si="1"/>
        <v>1380</v>
      </c>
      <c r="N29" s="76"/>
      <c r="O29" s="77"/>
      <c r="P29" s="82">
        <f t="shared" ca="1" si="2"/>
        <v>22266</v>
      </c>
      <c r="Q29" s="77"/>
      <c r="R29" s="21">
        <f t="shared" ca="1" si="3"/>
        <v>66</v>
      </c>
    </row>
    <row r="30" spans="1:18" x14ac:dyDescent="0.25">
      <c r="A30" s="81" t="s">
        <v>26</v>
      </c>
      <c r="B30" s="76"/>
      <c r="C30" s="76"/>
      <c r="D30" s="76"/>
      <c r="E30" s="77"/>
      <c r="F30" s="81" t="s">
        <v>25</v>
      </c>
      <c r="G30" s="76"/>
      <c r="H30" s="76"/>
      <c r="I30" s="77"/>
      <c r="J30" s="22"/>
      <c r="K30" s="82">
        <f t="shared" ca="1" si="0"/>
        <v>14866</v>
      </c>
      <c r="L30" s="77"/>
      <c r="M30" s="82">
        <f t="shared" ca="1" si="1"/>
        <v>6118</v>
      </c>
      <c r="N30" s="76"/>
      <c r="O30" s="77"/>
      <c r="P30" s="82">
        <f t="shared" ca="1" si="2"/>
        <v>19670</v>
      </c>
      <c r="Q30" s="77"/>
      <c r="R30" s="21">
        <f t="shared" ca="1" si="3"/>
        <v>64</v>
      </c>
    </row>
    <row r="31" spans="1:18" x14ac:dyDescent="0.25">
      <c r="A31" s="81" t="s">
        <v>42</v>
      </c>
      <c r="B31" s="76"/>
      <c r="C31" s="76"/>
      <c r="D31" s="76"/>
      <c r="E31" s="77"/>
      <c r="F31" s="81" t="s">
        <v>41</v>
      </c>
      <c r="G31" s="76"/>
      <c r="H31" s="76"/>
      <c r="I31" s="77"/>
      <c r="J31" s="22"/>
      <c r="K31" s="82">
        <f t="shared" ca="1" si="0"/>
        <v>24699</v>
      </c>
      <c r="L31" s="77"/>
      <c r="M31" s="82">
        <f t="shared" ca="1" si="1"/>
        <v>404</v>
      </c>
      <c r="N31" s="76"/>
      <c r="O31" s="77"/>
      <c r="P31" s="82">
        <f t="shared" ca="1" si="2"/>
        <v>21505</v>
      </c>
      <c r="Q31" s="77"/>
      <c r="R31" s="21">
        <f t="shared" ca="1" si="3"/>
        <v>30</v>
      </c>
    </row>
    <row r="32" spans="1:18" x14ac:dyDescent="0.25">
      <c r="A32" s="81" t="s">
        <v>24</v>
      </c>
      <c r="B32" s="76"/>
      <c r="C32" s="76"/>
      <c r="D32" s="76"/>
      <c r="E32" s="77"/>
      <c r="F32" s="81" t="s">
        <v>23</v>
      </c>
      <c r="G32" s="76"/>
      <c r="H32" s="76"/>
      <c r="I32" s="77"/>
      <c r="J32" s="22"/>
      <c r="K32" s="82">
        <f t="shared" ca="1" si="0"/>
        <v>8662</v>
      </c>
      <c r="L32" s="77"/>
      <c r="M32" s="82">
        <f t="shared" ca="1" si="1"/>
        <v>246</v>
      </c>
      <c r="N32" s="76"/>
      <c r="O32" s="77"/>
      <c r="P32" s="82">
        <f t="shared" ca="1" si="2"/>
        <v>24395</v>
      </c>
      <c r="Q32" s="77"/>
      <c r="R32" s="21">
        <f t="shared" ca="1" si="3"/>
        <v>66</v>
      </c>
    </row>
    <row r="33" spans="1:26" x14ac:dyDescent="0.25">
      <c r="A33" s="81" t="s">
        <v>70</v>
      </c>
      <c r="B33" s="76"/>
      <c r="C33" s="76"/>
      <c r="D33" s="76"/>
      <c r="E33" s="77"/>
      <c r="F33" s="81" t="s">
        <v>69</v>
      </c>
      <c r="G33" s="76"/>
      <c r="H33" s="76"/>
      <c r="I33" s="77"/>
      <c r="J33" s="22"/>
      <c r="K33" s="82">
        <f t="shared" ca="1" si="0"/>
        <v>31086</v>
      </c>
      <c r="L33" s="77"/>
      <c r="M33" s="82">
        <f t="shared" ca="1" si="1"/>
        <v>2554</v>
      </c>
      <c r="N33" s="76"/>
      <c r="O33" s="77"/>
      <c r="P33" s="82">
        <f t="shared" ca="1" si="2"/>
        <v>20977</v>
      </c>
      <c r="Q33" s="77"/>
      <c r="R33" s="21">
        <f t="shared" ca="1" si="3"/>
        <v>48</v>
      </c>
    </row>
    <row r="34" spans="1:26" x14ac:dyDescent="0.25">
      <c r="A34" s="81" t="s">
        <v>30</v>
      </c>
      <c r="B34" s="76"/>
      <c r="C34" s="76"/>
      <c r="D34" s="76"/>
      <c r="E34" s="77"/>
      <c r="F34" s="81" t="s">
        <v>29</v>
      </c>
      <c r="G34" s="76"/>
      <c r="H34" s="76"/>
      <c r="I34" s="77"/>
      <c r="J34" s="22"/>
      <c r="K34" s="82">
        <f t="shared" ca="1" si="0"/>
        <v>3671</v>
      </c>
      <c r="L34" s="77"/>
      <c r="M34" s="82">
        <f t="shared" ca="1" si="1"/>
        <v>4367</v>
      </c>
      <c r="N34" s="76"/>
      <c r="O34" s="77"/>
      <c r="P34" s="82">
        <f t="shared" ca="1" si="2"/>
        <v>5574</v>
      </c>
      <c r="Q34" s="77"/>
      <c r="R34" s="21">
        <f t="shared" ca="1" si="3"/>
        <v>9</v>
      </c>
    </row>
    <row r="35" spans="1:26" x14ac:dyDescent="0.25">
      <c r="A35" s="81" t="s">
        <v>28</v>
      </c>
      <c r="B35" s="76"/>
      <c r="C35" s="76"/>
      <c r="D35" s="76"/>
      <c r="E35" s="77"/>
      <c r="F35" s="81" t="s">
        <v>27</v>
      </c>
      <c r="G35" s="76"/>
      <c r="H35" s="76"/>
      <c r="I35" s="77"/>
      <c r="J35" s="22"/>
      <c r="K35" s="82">
        <f t="shared" ca="1" si="0"/>
        <v>6652</v>
      </c>
      <c r="L35" s="77"/>
      <c r="M35" s="82">
        <f t="shared" ca="1" si="1"/>
        <v>1272</v>
      </c>
      <c r="N35" s="76"/>
      <c r="O35" s="77"/>
      <c r="P35" s="82">
        <f t="shared" ca="1" si="2"/>
        <v>16607</v>
      </c>
      <c r="Q35" s="77"/>
      <c r="R35" s="21">
        <f t="shared" ca="1" si="3"/>
        <v>80</v>
      </c>
    </row>
    <row r="36" spans="1:26" x14ac:dyDescent="0.25">
      <c r="A36" s="81" t="s">
        <v>28</v>
      </c>
      <c r="B36" s="76"/>
      <c r="C36" s="76"/>
      <c r="D36" s="76"/>
      <c r="E36" s="77"/>
      <c r="F36" s="81" t="s">
        <v>27</v>
      </c>
      <c r="G36" s="76"/>
      <c r="H36" s="76"/>
      <c r="I36" s="77"/>
      <c r="J36" s="22"/>
      <c r="K36" s="82">
        <f t="shared" ca="1" si="0"/>
        <v>30557</v>
      </c>
      <c r="L36" s="77"/>
      <c r="M36" s="82">
        <f t="shared" ca="1" si="1"/>
        <v>3600</v>
      </c>
      <c r="N36" s="76"/>
      <c r="O36" s="77"/>
      <c r="P36" s="82">
        <f t="shared" ca="1" si="2"/>
        <v>21705</v>
      </c>
      <c r="Q36" s="77"/>
      <c r="R36" s="21">
        <f t="shared" ca="1" si="3"/>
        <v>19</v>
      </c>
    </row>
    <row r="37" spans="1:26" x14ac:dyDescent="0.25">
      <c r="A37" s="81" t="s">
        <v>40</v>
      </c>
      <c r="B37" s="76"/>
      <c r="C37" s="76"/>
      <c r="D37" s="76"/>
      <c r="E37" s="77"/>
      <c r="F37" s="81" t="s">
        <v>39</v>
      </c>
      <c r="G37" s="76"/>
      <c r="H37" s="76"/>
      <c r="I37" s="77"/>
      <c r="J37" s="22"/>
      <c r="K37" s="82">
        <f t="shared" ca="1" si="0"/>
        <v>31110</v>
      </c>
      <c r="L37" s="77"/>
      <c r="M37" s="82">
        <f t="shared" ca="1" si="1"/>
        <v>1016</v>
      </c>
      <c r="N37" s="76"/>
      <c r="O37" s="77"/>
      <c r="P37" s="82">
        <f t="shared" ca="1" si="2"/>
        <v>1727</v>
      </c>
      <c r="Q37" s="77"/>
      <c r="R37" s="21">
        <f t="shared" ca="1" si="3"/>
        <v>1</v>
      </c>
    </row>
    <row r="38" spans="1:26" x14ac:dyDescent="0.25">
      <c r="A38" s="81" t="s">
        <v>34</v>
      </c>
      <c r="B38" s="76"/>
      <c r="C38" s="76"/>
      <c r="D38" s="76"/>
      <c r="E38" s="77"/>
      <c r="F38" s="81" t="s">
        <v>33</v>
      </c>
      <c r="G38" s="76"/>
      <c r="H38" s="76"/>
      <c r="I38" s="77"/>
      <c r="J38" s="22"/>
      <c r="K38" s="82">
        <f t="shared" ca="1" si="0"/>
        <v>6096</v>
      </c>
      <c r="L38" s="77"/>
      <c r="M38" s="82">
        <f t="shared" ca="1" si="1"/>
        <v>2230</v>
      </c>
      <c r="N38" s="76"/>
      <c r="O38" s="77"/>
      <c r="P38" s="82">
        <f t="shared" ca="1" si="2"/>
        <v>194</v>
      </c>
      <c r="Q38" s="77"/>
      <c r="R38" s="21">
        <f t="shared" ca="1" si="3"/>
        <v>70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24951</v>
      </c>
      <c r="L39" s="77"/>
      <c r="M39" s="82">
        <f t="shared" ca="1" si="1"/>
        <v>6597</v>
      </c>
      <c r="N39" s="76"/>
      <c r="O39" s="77"/>
      <c r="P39" s="82">
        <f t="shared" ca="1" si="2"/>
        <v>13408</v>
      </c>
      <c r="Q39" s="77"/>
      <c r="R39" s="21">
        <f t="shared" ca="1" si="3"/>
        <v>37</v>
      </c>
    </row>
    <row r="40" spans="1:26" x14ac:dyDescent="0.25">
      <c r="A40" s="81" t="s">
        <v>32</v>
      </c>
      <c r="B40" s="76"/>
      <c r="C40" s="76"/>
      <c r="D40" s="76"/>
      <c r="E40" s="77"/>
      <c r="F40" s="81" t="s">
        <v>31</v>
      </c>
      <c r="G40" s="76"/>
      <c r="H40" s="76"/>
      <c r="I40" s="77"/>
      <c r="J40" s="22"/>
      <c r="K40" s="82">
        <f t="shared" ca="1" si="0"/>
        <v>14705</v>
      </c>
      <c r="L40" s="77"/>
      <c r="M40" s="82">
        <f t="shared" ca="1" si="1"/>
        <v>903</v>
      </c>
      <c r="N40" s="76"/>
      <c r="O40" s="77"/>
      <c r="P40" s="82">
        <f t="shared" ca="1" si="2"/>
        <v>12652</v>
      </c>
      <c r="Q40" s="77"/>
      <c r="R40" s="21">
        <f t="shared" ca="1" si="3"/>
        <v>28</v>
      </c>
    </row>
    <row r="41" spans="1:26" x14ac:dyDescent="0.25">
      <c r="A41" s="81" t="s">
        <v>78</v>
      </c>
      <c r="B41" s="76"/>
      <c r="C41" s="76"/>
      <c r="D41" s="76"/>
      <c r="E41" s="77"/>
      <c r="F41" s="81" t="s">
        <v>77</v>
      </c>
      <c r="G41" s="76"/>
      <c r="H41" s="76"/>
      <c r="I41" s="77"/>
      <c r="J41" s="22"/>
      <c r="K41" s="82">
        <f t="shared" ca="1" si="0"/>
        <v>9053</v>
      </c>
      <c r="L41" s="77"/>
      <c r="M41" s="82">
        <f t="shared" ca="1" si="1"/>
        <v>638</v>
      </c>
      <c r="N41" s="76"/>
      <c r="O41" s="77"/>
      <c r="P41" s="82">
        <f t="shared" ca="1" si="2"/>
        <v>1142</v>
      </c>
      <c r="Q41" s="77"/>
      <c r="R41" s="21">
        <f t="shared" ca="1" si="3"/>
        <v>74</v>
      </c>
    </row>
    <row r="42" spans="1:26" x14ac:dyDescent="0.25">
      <c r="A42" s="81" t="s">
        <v>42</v>
      </c>
      <c r="B42" s="76"/>
      <c r="C42" s="76"/>
      <c r="D42" s="76"/>
      <c r="E42" s="77"/>
      <c r="F42" s="81" t="s">
        <v>41</v>
      </c>
      <c r="G42" s="76"/>
      <c r="H42" s="76"/>
      <c r="I42" s="77"/>
      <c r="J42" s="22"/>
      <c r="K42" s="82">
        <f t="shared" ca="1" si="0"/>
        <v>28541</v>
      </c>
      <c r="L42" s="77"/>
      <c r="M42" s="82">
        <f t="shared" ca="1" si="1"/>
        <v>1000</v>
      </c>
      <c r="N42" s="76"/>
      <c r="O42" s="77"/>
      <c r="P42" s="82">
        <f t="shared" ca="1" si="2"/>
        <v>15568</v>
      </c>
      <c r="Q42" s="77"/>
      <c r="R42" s="21">
        <f t="shared" ca="1" si="3"/>
        <v>84</v>
      </c>
    </row>
    <row r="43" spans="1:26" x14ac:dyDescent="0.25">
      <c r="A43" s="75" t="s">
        <v>22</v>
      </c>
      <c r="B43" s="76"/>
      <c r="C43" s="76"/>
      <c r="D43" s="76"/>
      <c r="E43" s="76"/>
      <c r="F43" s="76"/>
      <c r="G43" s="76"/>
      <c r="H43" s="76"/>
      <c r="I43" s="77"/>
      <c r="J43" s="20"/>
      <c r="K43" s="78">
        <f ca="1">SUM(K18:L42)</f>
        <v>418356</v>
      </c>
      <c r="L43" s="77"/>
      <c r="M43" s="78">
        <f ca="1">SUM(M18:O42)</f>
        <v>64992</v>
      </c>
      <c r="N43" s="76"/>
      <c r="O43" s="77"/>
      <c r="P43" s="78">
        <f ca="1">SUM(P18:Q42)</f>
        <v>365881</v>
      </c>
      <c r="Q43" s="77"/>
      <c r="R43" s="19">
        <f ca="1">SUM(R18:R42)</f>
        <v>1301</v>
      </c>
    </row>
    <row r="44" spans="1:26" ht="27" customHeight="1" x14ac:dyDescent="0.25">
      <c r="A44" s="79" t="s">
        <v>21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</sheetData>
  <mergeCells count="161">
    <mergeCell ref="A43:I43"/>
    <mergeCell ref="K43:L43"/>
    <mergeCell ref="M43:O43"/>
    <mergeCell ref="P43:Q43"/>
    <mergeCell ref="A44:Z44"/>
    <mergeCell ref="A41:E41"/>
    <mergeCell ref="F41:I41"/>
    <mergeCell ref="K41:L41"/>
    <mergeCell ref="M41:O41"/>
    <mergeCell ref="P41:Q41"/>
    <mergeCell ref="A42:E42"/>
    <mergeCell ref="F42:I42"/>
    <mergeCell ref="K42:L42"/>
    <mergeCell ref="M42:O42"/>
    <mergeCell ref="P42:Q42"/>
    <mergeCell ref="A39:E39"/>
    <mergeCell ref="F39:I39"/>
    <mergeCell ref="K39:L39"/>
    <mergeCell ref="M39:O39"/>
    <mergeCell ref="P39:Q39"/>
    <mergeCell ref="A40:E40"/>
    <mergeCell ref="F40:I40"/>
    <mergeCell ref="K40:L40"/>
    <mergeCell ref="M40:O40"/>
    <mergeCell ref="P40:Q40"/>
    <mergeCell ref="A37:E37"/>
    <mergeCell ref="F37:I37"/>
    <mergeCell ref="K37:L37"/>
    <mergeCell ref="M37:O37"/>
    <mergeCell ref="P37:Q37"/>
    <mergeCell ref="A38:E38"/>
    <mergeCell ref="F38:I38"/>
    <mergeCell ref="K38:L38"/>
    <mergeCell ref="M38:O38"/>
    <mergeCell ref="P38:Q38"/>
    <mergeCell ref="A35:E35"/>
    <mergeCell ref="F35:I35"/>
    <mergeCell ref="K35:L35"/>
    <mergeCell ref="M35:O35"/>
    <mergeCell ref="P35:Q35"/>
    <mergeCell ref="A36:E36"/>
    <mergeCell ref="F36:I36"/>
    <mergeCell ref="K36:L36"/>
    <mergeCell ref="M36:O36"/>
    <mergeCell ref="P36:Q36"/>
    <mergeCell ref="A33:E33"/>
    <mergeCell ref="F33:I33"/>
    <mergeCell ref="K33:L33"/>
    <mergeCell ref="M33:O33"/>
    <mergeCell ref="P33:Q33"/>
    <mergeCell ref="A34:E34"/>
    <mergeCell ref="F34:I34"/>
    <mergeCell ref="K34:L34"/>
    <mergeCell ref="M34:O34"/>
    <mergeCell ref="P34:Q34"/>
    <mergeCell ref="A31:E31"/>
    <mergeCell ref="F31:I31"/>
    <mergeCell ref="K31:L31"/>
    <mergeCell ref="M31:O31"/>
    <mergeCell ref="P31:Q31"/>
    <mergeCell ref="A32:E32"/>
    <mergeCell ref="F32:I32"/>
    <mergeCell ref="K32:L32"/>
    <mergeCell ref="M32:O32"/>
    <mergeCell ref="P32:Q32"/>
    <mergeCell ref="A29:E29"/>
    <mergeCell ref="F29:I29"/>
    <mergeCell ref="K29:L29"/>
    <mergeCell ref="M29:O29"/>
    <mergeCell ref="P29:Q29"/>
    <mergeCell ref="A30:E30"/>
    <mergeCell ref="F30:I30"/>
    <mergeCell ref="K30:L30"/>
    <mergeCell ref="M30:O30"/>
    <mergeCell ref="P30:Q30"/>
    <mergeCell ref="A27:E27"/>
    <mergeCell ref="F27:I27"/>
    <mergeCell ref="K27:L27"/>
    <mergeCell ref="M27:O27"/>
    <mergeCell ref="P27:Q27"/>
    <mergeCell ref="A28:E28"/>
    <mergeCell ref="F28:I28"/>
    <mergeCell ref="K28:L28"/>
    <mergeCell ref="M28:O28"/>
    <mergeCell ref="P28:Q28"/>
    <mergeCell ref="A25:E25"/>
    <mergeCell ref="F25:I25"/>
    <mergeCell ref="K25:L25"/>
    <mergeCell ref="M25:O25"/>
    <mergeCell ref="P25:Q25"/>
    <mergeCell ref="A26:E26"/>
    <mergeCell ref="F26:I26"/>
    <mergeCell ref="K26:L26"/>
    <mergeCell ref="M26:O26"/>
    <mergeCell ref="P26:Q26"/>
    <mergeCell ref="A23:E23"/>
    <mergeCell ref="F23:I23"/>
    <mergeCell ref="K23:L23"/>
    <mergeCell ref="M23:O23"/>
    <mergeCell ref="P23:Q23"/>
    <mergeCell ref="A24:E24"/>
    <mergeCell ref="F24:I24"/>
    <mergeCell ref="K24:L24"/>
    <mergeCell ref="M24:O24"/>
    <mergeCell ref="P24:Q24"/>
    <mergeCell ref="A21:E21"/>
    <mergeCell ref="F21:I21"/>
    <mergeCell ref="K21:L21"/>
    <mergeCell ref="M21:O21"/>
    <mergeCell ref="P21:Q21"/>
    <mergeCell ref="A22:E22"/>
    <mergeCell ref="F22:I22"/>
    <mergeCell ref="K22:L22"/>
    <mergeCell ref="M22:O22"/>
    <mergeCell ref="P22:Q22"/>
    <mergeCell ref="A19:E19"/>
    <mergeCell ref="F19:I19"/>
    <mergeCell ref="K19:L19"/>
    <mergeCell ref="M19:O19"/>
    <mergeCell ref="P19:Q19"/>
    <mergeCell ref="A20:E20"/>
    <mergeCell ref="F20:I20"/>
    <mergeCell ref="K20:L20"/>
    <mergeCell ref="M20:O20"/>
    <mergeCell ref="P20:Q20"/>
    <mergeCell ref="A17:E17"/>
    <mergeCell ref="F17:I17"/>
    <mergeCell ref="K17:L17"/>
    <mergeCell ref="M17:O17"/>
    <mergeCell ref="P17:Q17"/>
    <mergeCell ref="A18:E18"/>
    <mergeCell ref="F18:I18"/>
    <mergeCell ref="K18:L18"/>
    <mergeCell ref="M18:O18"/>
    <mergeCell ref="P18:Q18"/>
    <mergeCell ref="G13:H13"/>
    <mergeCell ref="I13:W13"/>
    <mergeCell ref="D14:G14"/>
    <mergeCell ref="H14:X14"/>
    <mergeCell ref="A15:H15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7:H7"/>
    <mergeCell ref="I7:W7"/>
    <mergeCell ref="G8:H8"/>
    <mergeCell ref="I8:W8"/>
    <mergeCell ref="C9:H9"/>
    <mergeCell ref="I9:W9"/>
    <mergeCell ref="A1:N3"/>
    <mergeCell ref="U4:V4"/>
    <mergeCell ref="A5:H5"/>
    <mergeCell ref="I5:W5"/>
    <mergeCell ref="A6:H6"/>
    <mergeCell ref="I6:W6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1DDB7-A13C-4D79-BE06-C99CCE89D0CC}">
  <dimension ref="A1:AA44"/>
  <sheetViews>
    <sheetView showGridLines="0" workbookViewId="0">
      <pane ySplit="4" topLeftCell="A16" activePane="bottomLeft" state="frozen"/>
      <selection pane="bottomLeft" activeCell="J18" sqref="J18:J43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475206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92284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1336</v>
      </c>
    </row>
    <row r="4" spans="1:27" ht="12.2" customHeight="1" x14ac:dyDescent="0.25">
      <c r="U4" s="88"/>
      <c r="V4" s="80"/>
      <c r="AA4" s="17">
        <f ca="1">AA2-AA3</f>
        <v>90948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45536</v>
      </c>
      <c r="J15" s="80"/>
      <c r="K15" s="80"/>
      <c r="L15" s="84" t="s">
        <v>17</v>
      </c>
      <c r="M15" s="80"/>
      <c r="N15" s="85">
        <v>45565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20494</v>
      </c>
      <c r="L18" s="77"/>
      <c r="M18" s="82">
        <f ca="1">RANDBETWEEN(0,7000)</f>
        <v>2325</v>
      </c>
      <c r="N18" s="76"/>
      <c r="O18" s="77"/>
      <c r="P18" s="82">
        <f ca="1">RANDBETWEEN(0,25000)</f>
        <v>16508</v>
      </c>
      <c r="Q18" s="77"/>
      <c r="R18" s="21">
        <f ca="1">RANDBETWEEN(0,100)</f>
        <v>67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42" ca="1" si="0">RANDBETWEEN(0,32500)</f>
        <v>14053</v>
      </c>
      <c r="L19" s="77"/>
      <c r="M19" s="82">
        <f t="shared" ref="M19:M42" ca="1" si="1">RANDBETWEEN(0,7000)</f>
        <v>5780</v>
      </c>
      <c r="N19" s="76"/>
      <c r="O19" s="77"/>
      <c r="P19" s="82">
        <f t="shared" ref="P19:P42" ca="1" si="2">RANDBETWEEN(0,25000)</f>
        <v>21006</v>
      </c>
      <c r="Q19" s="77"/>
      <c r="R19" s="21">
        <f t="shared" ref="R19:R42" ca="1" si="3">RANDBETWEEN(0,100)</f>
        <v>74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23994</v>
      </c>
      <c r="L20" s="77"/>
      <c r="M20" s="82">
        <f t="shared" ca="1" si="1"/>
        <v>4269</v>
      </c>
      <c r="N20" s="76"/>
      <c r="O20" s="77"/>
      <c r="P20" s="82">
        <f t="shared" ca="1" si="2"/>
        <v>16708</v>
      </c>
      <c r="Q20" s="77"/>
      <c r="R20" s="21">
        <f t="shared" ca="1" si="3"/>
        <v>58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23038</v>
      </c>
      <c r="L21" s="77"/>
      <c r="M21" s="82">
        <f t="shared" ca="1" si="1"/>
        <v>134</v>
      </c>
      <c r="N21" s="76"/>
      <c r="O21" s="77"/>
      <c r="P21" s="82">
        <f t="shared" ca="1" si="2"/>
        <v>24209</v>
      </c>
      <c r="Q21" s="77"/>
      <c r="R21" s="21">
        <f t="shared" ca="1" si="3"/>
        <v>97</v>
      </c>
    </row>
    <row r="22" spans="1:18" x14ac:dyDescent="0.25">
      <c r="A22" s="81" t="s">
        <v>30</v>
      </c>
      <c r="B22" s="76"/>
      <c r="C22" s="76"/>
      <c r="D22" s="76"/>
      <c r="E22" s="77"/>
      <c r="F22" s="81" t="s">
        <v>29</v>
      </c>
      <c r="G22" s="76"/>
      <c r="H22" s="76"/>
      <c r="I22" s="77"/>
      <c r="J22" s="22"/>
      <c r="K22" s="82">
        <f t="shared" ca="1" si="0"/>
        <v>29809</v>
      </c>
      <c r="L22" s="77"/>
      <c r="M22" s="82">
        <f t="shared" ca="1" si="1"/>
        <v>5005</v>
      </c>
      <c r="N22" s="76"/>
      <c r="O22" s="77"/>
      <c r="P22" s="82">
        <f t="shared" ca="1" si="2"/>
        <v>2107</v>
      </c>
      <c r="Q22" s="77"/>
      <c r="R22" s="21">
        <f t="shared" ca="1" si="3"/>
        <v>16</v>
      </c>
    </row>
    <row r="23" spans="1:18" x14ac:dyDescent="0.25">
      <c r="A23" s="81" t="s">
        <v>78</v>
      </c>
      <c r="B23" s="76"/>
      <c r="C23" s="76"/>
      <c r="D23" s="76"/>
      <c r="E23" s="77"/>
      <c r="F23" s="81" t="s">
        <v>77</v>
      </c>
      <c r="G23" s="76"/>
      <c r="H23" s="76"/>
      <c r="I23" s="77"/>
      <c r="J23" s="22"/>
      <c r="K23" s="82">
        <f t="shared" ca="1" si="0"/>
        <v>26616</v>
      </c>
      <c r="L23" s="77"/>
      <c r="M23" s="82">
        <f t="shared" ca="1" si="1"/>
        <v>5996</v>
      </c>
      <c r="N23" s="76"/>
      <c r="O23" s="77"/>
      <c r="P23" s="82">
        <f t="shared" ca="1" si="2"/>
        <v>12869</v>
      </c>
      <c r="Q23" s="77"/>
      <c r="R23" s="21">
        <f t="shared" ca="1" si="3"/>
        <v>100</v>
      </c>
    </row>
    <row r="24" spans="1:18" x14ac:dyDescent="0.25">
      <c r="A24" s="81" t="s">
        <v>28</v>
      </c>
      <c r="B24" s="76"/>
      <c r="C24" s="76"/>
      <c r="D24" s="76"/>
      <c r="E24" s="77"/>
      <c r="F24" s="81" t="s">
        <v>27</v>
      </c>
      <c r="G24" s="76"/>
      <c r="H24" s="76"/>
      <c r="I24" s="77"/>
      <c r="J24" s="22"/>
      <c r="K24" s="82">
        <f t="shared" ca="1" si="0"/>
        <v>26487</v>
      </c>
      <c r="L24" s="77"/>
      <c r="M24" s="82">
        <f t="shared" ca="1" si="1"/>
        <v>5149</v>
      </c>
      <c r="N24" s="76"/>
      <c r="O24" s="77"/>
      <c r="P24" s="82">
        <f t="shared" ca="1" si="2"/>
        <v>2521</v>
      </c>
      <c r="Q24" s="77"/>
      <c r="R24" s="21">
        <f t="shared" ca="1" si="3"/>
        <v>95</v>
      </c>
    </row>
    <row r="25" spans="1:18" x14ac:dyDescent="0.25">
      <c r="A25" s="81" t="s">
        <v>70</v>
      </c>
      <c r="B25" s="76"/>
      <c r="C25" s="76"/>
      <c r="D25" s="76"/>
      <c r="E25" s="77"/>
      <c r="F25" s="81" t="s">
        <v>69</v>
      </c>
      <c r="G25" s="76"/>
      <c r="H25" s="76"/>
      <c r="I25" s="77"/>
      <c r="J25" s="22"/>
      <c r="K25" s="82">
        <f t="shared" ca="1" si="0"/>
        <v>6872</v>
      </c>
      <c r="L25" s="77"/>
      <c r="M25" s="82">
        <f t="shared" ca="1" si="1"/>
        <v>6942</v>
      </c>
      <c r="N25" s="76"/>
      <c r="O25" s="77"/>
      <c r="P25" s="82">
        <f t="shared" ca="1" si="2"/>
        <v>19608</v>
      </c>
      <c r="Q25" s="77"/>
      <c r="R25" s="21">
        <f t="shared" ca="1" si="3"/>
        <v>76</v>
      </c>
    </row>
    <row r="26" spans="1:18" x14ac:dyDescent="0.25">
      <c r="A26" s="81" t="s">
        <v>26</v>
      </c>
      <c r="B26" s="76"/>
      <c r="C26" s="76"/>
      <c r="D26" s="76"/>
      <c r="E26" s="77"/>
      <c r="F26" s="81" t="s">
        <v>25</v>
      </c>
      <c r="G26" s="76"/>
      <c r="H26" s="76"/>
      <c r="I26" s="77"/>
      <c r="J26" s="22"/>
      <c r="K26" s="82">
        <f t="shared" ca="1" si="0"/>
        <v>19231</v>
      </c>
      <c r="L26" s="77"/>
      <c r="M26" s="82">
        <f t="shared" ca="1" si="1"/>
        <v>4877</v>
      </c>
      <c r="N26" s="76"/>
      <c r="O26" s="77"/>
      <c r="P26" s="82">
        <f t="shared" ca="1" si="2"/>
        <v>6923</v>
      </c>
      <c r="Q26" s="77"/>
      <c r="R26" s="21">
        <f t="shared" ca="1" si="3"/>
        <v>3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1504</v>
      </c>
      <c r="L27" s="77"/>
      <c r="M27" s="82">
        <f t="shared" ca="1" si="1"/>
        <v>4099</v>
      </c>
      <c r="N27" s="76"/>
      <c r="O27" s="77"/>
      <c r="P27" s="82">
        <f t="shared" ca="1" si="2"/>
        <v>23662</v>
      </c>
      <c r="Q27" s="77"/>
      <c r="R27" s="21">
        <f t="shared" ca="1" si="3"/>
        <v>54</v>
      </c>
    </row>
    <row r="28" spans="1:18" x14ac:dyDescent="0.25">
      <c r="A28" s="81" t="s">
        <v>86</v>
      </c>
      <c r="B28" s="76"/>
      <c r="C28" s="76"/>
      <c r="D28" s="76"/>
      <c r="E28" s="77"/>
      <c r="F28" s="81" t="s">
        <v>85</v>
      </c>
      <c r="G28" s="76"/>
      <c r="H28" s="76"/>
      <c r="I28" s="77"/>
      <c r="J28" s="22"/>
      <c r="K28" s="82">
        <f t="shared" ca="1" si="0"/>
        <v>28789</v>
      </c>
      <c r="L28" s="77"/>
      <c r="M28" s="82">
        <f t="shared" ca="1" si="1"/>
        <v>5640</v>
      </c>
      <c r="N28" s="76"/>
      <c r="O28" s="77"/>
      <c r="P28" s="82">
        <f t="shared" ca="1" si="2"/>
        <v>7516</v>
      </c>
      <c r="Q28" s="77"/>
      <c r="R28" s="21">
        <f t="shared" ca="1" si="3"/>
        <v>3</v>
      </c>
    </row>
    <row r="29" spans="1:18" x14ac:dyDescent="0.25">
      <c r="A29" s="81" t="s">
        <v>44</v>
      </c>
      <c r="B29" s="76"/>
      <c r="C29" s="76"/>
      <c r="D29" s="76"/>
      <c r="E29" s="77"/>
      <c r="F29" s="81" t="s">
        <v>43</v>
      </c>
      <c r="G29" s="76"/>
      <c r="H29" s="76"/>
      <c r="I29" s="77"/>
      <c r="J29" s="22"/>
      <c r="K29" s="82">
        <f t="shared" ca="1" si="0"/>
        <v>2276</v>
      </c>
      <c r="L29" s="77"/>
      <c r="M29" s="82">
        <f t="shared" ca="1" si="1"/>
        <v>967</v>
      </c>
      <c r="N29" s="76"/>
      <c r="O29" s="77"/>
      <c r="P29" s="82">
        <f t="shared" ca="1" si="2"/>
        <v>7836</v>
      </c>
      <c r="Q29" s="77"/>
      <c r="R29" s="21">
        <f t="shared" ca="1" si="3"/>
        <v>83</v>
      </c>
    </row>
    <row r="30" spans="1:18" x14ac:dyDescent="0.25">
      <c r="A30" s="81" t="s">
        <v>26</v>
      </c>
      <c r="B30" s="76"/>
      <c r="C30" s="76"/>
      <c r="D30" s="76"/>
      <c r="E30" s="77"/>
      <c r="F30" s="81" t="s">
        <v>25</v>
      </c>
      <c r="G30" s="76"/>
      <c r="H30" s="76"/>
      <c r="I30" s="77"/>
      <c r="J30" s="22"/>
      <c r="K30" s="82">
        <f t="shared" ca="1" si="0"/>
        <v>14511</v>
      </c>
      <c r="L30" s="77"/>
      <c r="M30" s="82">
        <f t="shared" ca="1" si="1"/>
        <v>6146</v>
      </c>
      <c r="N30" s="76"/>
      <c r="O30" s="77"/>
      <c r="P30" s="82">
        <f t="shared" ca="1" si="2"/>
        <v>9406</v>
      </c>
      <c r="Q30" s="77"/>
      <c r="R30" s="21">
        <f t="shared" ca="1" si="3"/>
        <v>43</v>
      </c>
    </row>
    <row r="31" spans="1:18" x14ac:dyDescent="0.25">
      <c r="A31" s="81" t="s">
        <v>42</v>
      </c>
      <c r="B31" s="76"/>
      <c r="C31" s="76"/>
      <c r="D31" s="76"/>
      <c r="E31" s="77"/>
      <c r="F31" s="81" t="s">
        <v>41</v>
      </c>
      <c r="G31" s="76"/>
      <c r="H31" s="76"/>
      <c r="I31" s="77"/>
      <c r="J31" s="22"/>
      <c r="K31" s="82">
        <f t="shared" ca="1" si="0"/>
        <v>17578</v>
      </c>
      <c r="L31" s="77"/>
      <c r="M31" s="82">
        <f t="shared" ca="1" si="1"/>
        <v>6580</v>
      </c>
      <c r="N31" s="76"/>
      <c r="O31" s="77"/>
      <c r="P31" s="82">
        <f t="shared" ca="1" si="2"/>
        <v>4827</v>
      </c>
      <c r="Q31" s="77"/>
      <c r="R31" s="21">
        <f t="shared" ca="1" si="3"/>
        <v>39</v>
      </c>
    </row>
    <row r="32" spans="1:18" x14ac:dyDescent="0.25">
      <c r="A32" s="81" t="s">
        <v>24</v>
      </c>
      <c r="B32" s="76"/>
      <c r="C32" s="76"/>
      <c r="D32" s="76"/>
      <c r="E32" s="77"/>
      <c r="F32" s="81" t="s">
        <v>23</v>
      </c>
      <c r="G32" s="76"/>
      <c r="H32" s="76"/>
      <c r="I32" s="77"/>
      <c r="J32" s="22"/>
      <c r="K32" s="82">
        <f t="shared" ca="1" si="0"/>
        <v>9144</v>
      </c>
      <c r="L32" s="77"/>
      <c r="M32" s="82">
        <f t="shared" ca="1" si="1"/>
        <v>960</v>
      </c>
      <c r="N32" s="76"/>
      <c r="O32" s="77"/>
      <c r="P32" s="82">
        <f t="shared" ca="1" si="2"/>
        <v>23936</v>
      </c>
      <c r="Q32" s="77"/>
      <c r="R32" s="21">
        <f t="shared" ca="1" si="3"/>
        <v>21</v>
      </c>
    </row>
    <row r="33" spans="1:26" x14ac:dyDescent="0.25">
      <c r="A33" s="81" t="s">
        <v>70</v>
      </c>
      <c r="B33" s="76"/>
      <c r="C33" s="76"/>
      <c r="D33" s="76"/>
      <c r="E33" s="77"/>
      <c r="F33" s="81" t="s">
        <v>69</v>
      </c>
      <c r="G33" s="76"/>
      <c r="H33" s="76"/>
      <c r="I33" s="77"/>
      <c r="J33" s="22"/>
      <c r="K33" s="82">
        <f t="shared" ca="1" si="0"/>
        <v>32130</v>
      </c>
      <c r="L33" s="77"/>
      <c r="M33" s="82">
        <f t="shared" ca="1" si="1"/>
        <v>1380</v>
      </c>
      <c r="N33" s="76"/>
      <c r="O33" s="77"/>
      <c r="P33" s="82">
        <f t="shared" ca="1" si="2"/>
        <v>21983</v>
      </c>
      <c r="Q33" s="77"/>
      <c r="R33" s="21">
        <f t="shared" ca="1" si="3"/>
        <v>45</v>
      </c>
    </row>
    <row r="34" spans="1:26" x14ac:dyDescent="0.25">
      <c r="A34" s="81" t="s">
        <v>30</v>
      </c>
      <c r="B34" s="76"/>
      <c r="C34" s="76"/>
      <c r="D34" s="76"/>
      <c r="E34" s="77"/>
      <c r="F34" s="81" t="s">
        <v>29</v>
      </c>
      <c r="G34" s="76"/>
      <c r="H34" s="76"/>
      <c r="I34" s="77"/>
      <c r="J34" s="22"/>
      <c r="K34" s="82">
        <f t="shared" ca="1" si="0"/>
        <v>26412</v>
      </c>
      <c r="L34" s="77"/>
      <c r="M34" s="82">
        <f t="shared" ca="1" si="1"/>
        <v>620</v>
      </c>
      <c r="N34" s="76"/>
      <c r="O34" s="77"/>
      <c r="P34" s="82">
        <f t="shared" ca="1" si="2"/>
        <v>18258</v>
      </c>
      <c r="Q34" s="77"/>
      <c r="R34" s="21">
        <f t="shared" ca="1" si="3"/>
        <v>12</v>
      </c>
    </row>
    <row r="35" spans="1:26" x14ac:dyDescent="0.25">
      <c r="A35" s="81" t="s">
        <v>28</v>
      </c>
      <c r="B35" s="76"/>
      <c r="C35" s="76"/>
      <c r="D35" s="76"/>
      <c r="E35" s="77"/>
      <c r="F35" s="81" t="s">
        <v>27</v>
      </c>
      <c r="G35" s="76"/>
      <c r="H35" s="76"/>
      <c r="I35" s="77"/>
      <c r="J35" s="22"/>
      <c r="K35" s="82">
        <f t="shared" ca="1" si="0"/>
        <v>19169</v>
      </c>
      <c r="L35" s="77"/>
      <c r="M35" s="82">
        <f t="shared" ca="1" si="1"/>
        <v>4954</v>
      </c>
      <c r="N35" s="76"/>
      <c r="O35" s="77"/>
      <c r="P35" s="82">
        <f t="shared" ca="1" si="2"/>
        <v>17983</v>
      </c>
      <c r="Q35" s="77"/>
      <c r="R35" s="21">
        <f t="shared" ca="1" si="3"/>
        <v>76</v>
      </c>
    </row>
    <row r="36" spans="1:26" x14ac:dyDescent="0.25">
      <c r="A36" s="81" t="s">
        <v>28</v>
      </c>
      <c r="B36" s="76"/>
      <c r="C36" s="76"/>
      <c r="D36" s="76"/>
      <c r="E36" s="77"/>
      <c r="F36" s="81" t="s">
        <v>27</v>
      </c>
      <c r="G36" s="76"/>
      <c r="H36" s="76"/>
      <c r="I36" s="77"/>
      <c r="J36" s="22"/>
      <c r="K36" s="82">
        <f t="shared" ca="1" si="0"/>
        <v>18608</v>
      </c>
      <c r="L36" s="77"/>
      <c r="M36" s="82">
        <f t="shared" ca="1" si="1"/>
        <v>30</v>
      </c>
      <c r="N36" s="76"/>
      <c r="O36" s="77"/>
      <c r="P36" s="82">
        <f t="shared" ca="1" si="2"/>
        <v>9288</v>
      </c>
      <c r="Q36" s="77"/>
      <c r="R36" s="21">
        <f t="shared" ca="1" si="3"/>
        <v>6</v>
      </c>
    </row>
    <row r="37" spans="1:26" x14ac:dyDescent="0.25">
      <c r="A37" s="81" t="s">
        <v>40</v>
      </c>
      <c r="B37" s="76"/>
      <c r="C37" s="76"/>
      <c r="D37" s="76"/>
      <c r="E37" s="77"/>
      <c r="F37" s="81" t="s">
        <v>39</v>
      </c>
      <c r="G37" s="76"/>
      <c r="H37" s="76"/>
      <c r="I37" s="77"/>
      <c r="J37" s="22"/>
      <c r="K37" s="82">
        <f t="shared" ca="1" si="0"/>
        <v>7630</v>
      </c>
      <c r="L37" s="77"/>
      <c r="M37" s="82">
        <f t="shared" ca="1" si="1"/>
        <v>5001</v>
      </c>
      <c r="N37" s="76"/>
      <c r="O37" s="77"/>
      <c r="P37" s="82">
        <f t="shared" ca="1" si="2"/>
        <v>5884</v>
      </c>
      <c r="Q37" s="77"/>
      <c r="R37" s="21">
        <f t="shared" ca="1" si="3"/>
        <v>63</v>
      </c>
    </row>
    <row r="38" spans="1:26" x14ac:dyDescent="0.25">
      <c r="A38" s="81" t="s">
        <v>34</v>
      </c>
      <c r="B38" s="76"/>
      <c r="C38" s="76"/>
      <c r="D38" s="76"/>
      <c r="E38" s="77"/>
      <c r="F38" s="81" t="s">
        <v>33</v>
      </c>
      <c r="G38" s="76"/>
      <c r="H38" s="76"/>
      <c r="I38" s="77"/>
      <c r="J38" s="22"/>
      <c r="K38" s="82">
        <f t="shared" ca="1" si="0"/>
        <v>31277</v>
      </c>
      <c r="L38" s="77"/>
      <c r="M38" s="82">
        <f t="shared" ca="1" si="1"/>
        <v>249</v>
      </c>
      <c r="N38" s="76"/>
      <c r="O38" s="77"/>
      <c r="P38" s="82">
        <f t="shared" ca="1" si="2"/>
        <v>14158</v>
      </c>
      <c r="Q38" s="77"/>
      <c r="R38" s="21">
        <f t="shared" ca="1" si="3"/>
        <v>55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23963</v>
      </c>
      <c r="L39" s="77"/>
      <c r="M39" s="82">
        <f t="shared" ca="1" si="1"/>
        <v>1923</v>
      </c>
      <c r="N39" s="76"/>
      <c r="O39" s="77"/>
      <c r="P39" s="82">
        <f t="shared" ca="1" si="2"/>
        <v>1668</v>
      </c>
      <c r="Q39" s="77"/>
      <c r="R39" s="21">
        <f t="shared" ca="1" si="3"/>
        <v>41</v>
      </c>
    </row>
    <row r="40" spans="1:26" x14ac:dyDescent="0.25">
      <c r="A40" s="81" t="s">
        <v>32</v>
      </c>
      <c r="B40" s="76"/>
      <c r="C40" s="76"/>
      <c r="D40" s="76"/>
      <c r="E40" s="77"/>
      <c r="F40" s="81" t="s">
        <v>31</v>
      </c>
      <c r="G40" s="76"/>
      <c r="H40" s="76"/>
      <c r="I40" s="77"/>
      <c r="J40" s="22"/>
      <c r="K40" s="82">
        <f t="shared" ca="1" si="0"/>
        <v>12018</v>
      </c>
      <c r="L40" s="77"/>
      <c r="M40" s="82">
        <f t="shared" ca="1" si="1"/>
        <v>1687</v>
      </c>
      <c r="N40" s="76"/>
      <c r="O40" s="77"/>
      <c r="P40" s="82">
        <f t="shared" ca="1" si="2"/>
        <v>11883</v>
      </c>
      <c r="Q40" s="77"/>
      <c r="R40" s="21">
        <f t="shared" ca="1" si="3"/>
        <v>79</v>
      </c>
    </row>
    <row r="41" spans="1:26" x14ac:dyDescent="0.25">
      <c r="A41" s="81" t="s">
        <v>78</v>
      </c>
      <c r="B41" s="76"/>
      <c r="C41" s="76"/>
      <c r="D41" s="76"/>
      <c r="E41" s="77"/>
      <c r="F41" s="81" t="s">
        <v>77</v>
      </c>
      <c r="G41" s="76"/>
      <c r="H41" s="76"/>
      <c r="I41" s="77"/>
      <c r="J41" s="22"/>
      <c r="K41" s="82">
        <f t="shared" ca="1" si="0"/>
        <v>28689</v>
      </c>
      <c r="L41" s="77"/>
      <c r="M41" s="82">
        <f t="shared" ca="1" si="1"/>
        <v>6258</v>
      </c>
      <c r="N41" s="76"/>
      <c r="O41" s="77"/>
      <c r="P41" s="82">
        <f t="shared" ca="1" si="2"/>
        <v>13595</v>
      </c>
      <c r="Q41" s="77"/>
      <c r="R41" s="21">
        <f t="shared" ca="1" si="3"/>
        <v>34</v>
      </c>
    </row>
    <row r="42" spans="1:26" x14ac:dyDescent="0.25">
      <c r="A42" s="81" t="s">
        <v>42</v>
      </c>
      <c r="B42" s="76"/>
      <c r="C42" s="76"/>
      <c r="D42" s="76"/>
      <c r="E42" s="77"/>
      <c r="F42" s="81" t="s">
        <v>41</v>
      </c>
      <c r="G42" s="76"/>
      <c r="H42" s="76"/>
      <c r="I42" s="77"/>
      <c r="J42" s="22"/>
      <c r="K42" s="82">
        <f t="shared" ca="1" si="0"/>
        <v>10914</v>
      </c>
      <c r="L42" s="77"/>
      <c r="M42" s="82">
        <f t="shared" ca="1" si="1"/>
        <v>5313</v>
      </c>
      <c r="N42" s="76"/>
      <c r="O42" s="77"/>
      <c r="P42" s="82">
        <f t="shared" ca="1" si="2"/>
        <v>13800</v>
      </c>
      <c r="Q42" s="77"/>
      <c r="R42" s="21">
        <f t="shared" ca="1" si="3"/>
        <v>96</v>
      </c>
    </row>
    <row r="43" spans="1:26" x14ac:dyDescent="0.25">
      <c r="A43" s="75" t="s">
        <v>22</v>
      </c>
      <c r="B43" s="76"/>
      <c r="C43" s="76"/>
      <c r="D43" s="76"/>
      <c r="E43" s="76"/>
      <c r="F43" s="76"/>
      <c r="G43" s="76"/>
      <c r="H43" s="76"/>
      <c r="I43" s="77"/>
      <c r="J43" s="20"/>
      <c r="K43" s="78">
        <f ca="1">SUM(K18:L42)</f>
        <v>475206</v>
      </c>
      <c r="L43" s="77"/>
      <c r="M43" s="78">
        <f ca="1">SUM(M18:O42)</f>
        <v>92284</v>
      </c>
      <c r="N43" s="76"/>
      <c r="O43" s="77"/>
      <c r="P43" s="78">
        <f ca="1">SUM(P18:Q42)</f>
        <v>328142</v>
      </c>
      <c r="Q43" s="77"/>
      <c r="R43" s="19">
        <f ca="1">SUM(R18:R42)</f>
        <v>1336</v>
      </c>
    </row>
    <row r="44" spans="1:26" ht="27" customHeight="1" x14ac:dyDescent="0.25">
      <c r="A44" s="79" t="s">
        <v>21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</sheetData>
  <mergeCells count="161">
    <mergeCell ref="A43:I43"/>
    <mergeCell ref="K43:L43"/>
    <mergeCell ref="M43:O43"/>
    <mergeCell ref="P43:Q43"/>
    <mergeCell ref="A44:Z44"/>
    <mergeCell ref="A41:E41"/>
    <mergeCell ref="F41:I41"/>
    <mergeCell ref="K41:L41"/>
    <mergeCell ref="M41:O41"/>
    <mergeCell ref="P41:Q41"/>
    <mergeCell ref="A42:E42"/>
    <mergeCell ref="F42:I42"/>
    <mergeCell ref="K42:L42"/>
    <mergeCell ref="M42:O42"/>
    <mergeCell ref="P42:Q42"/>
    <mergeCell ref="A39:E39"/>
    <mergeCell ref="F39:I39"/>
    <mergeCell ref="K39:L39"/>
    <mergeCell ref="M39:O39"/>
    <mergeCell ref="P39:Q39"/>
    <mergeCell ref="A40:E40"/>
    <mergeCell ref="F40:I40"/>
    <mergeCell ref="K40:L40"/>
    <mergeCell ref="M40:O40"/>
    <mergeCell ref="P40:Q40"/>
    <mergeCell ref="A37:E37"/>
    <mergeCell ref="F37:I37"/>
    <mergeCell ref="K37:L37"/>
    <mergeCell ref="M37:O37"/>
    <mergeCell ref="P37:Q37"/>
    <mergeCell ref="A38:E38"/>
    <mergeCell ref="F38:I38"/>
    <mergeCell ref="K38:L38"/>
    <mergeCell ref="M38:O38"/>
    <mergeCell ref="P38:Q38"/>
    <mergeCell ref="A35:E35"/>
    <mergeCell ref="F35:I35"/>
    <mergeCell ref="K35:L35"/>
    <mergeCell ref="M35:O35"/>
    <mergeCell ref="P35:Q35"/>
    <mergeCell ref="A36:E36"/>
    <mergeCell ref="F36:I36"/>
    <mergeCell ref="K36:L36"/>
    <mergeCell ref="M36:O36"/>
    <mergeCell ref="P36:Q36"/>
    <mergeCell ref="A33:E33"/>
    <mergeCell ref="F33:I33"/>
    <mergeCell ref="K33:L33"/>
    <mergeCell ref="M33:O33"/>
    <mergeCell ref="P33:Q33"/>
    <mergeCell ref="A34:E34"/>
    <mergeCell ref="F34:I34"/>
    <mergeCell ref="K34:L34"/>
    <mergeCell ref="M34:O34"/>
    <mergeCell ref="P34:Q34"/>
    <mergeCell ref="A31:E31"/>
    <mergeCell ref="F31:I31"/>
    <mergeCell ref="K31:L31"/>
    <mergeCell ref="M31:O31"/>
    <mergeCell ref="P31:Q31"/>
    <mergeCell ref="A32:E32"/>
    <mergeCell ref="F32:I32"/>
    <mergeCell ref="K32:L32"/>
    <mergeCell ref="M32:O32"/>
    <mergeCell ref="P32:Q32"/>
    <mergeCell ref="A29:E29"/>
    <mergeCell ref="F29:I29"/>
    <mergeCell ref="K29:L29"/>
    <mergeCell ref="M29:O29"/>
    <mergeCell ref="P29:Q29"/>
    <mergeCell ref="A30:E30"/>
    <mergeCell ref="F30:I30"/>
    <mergeCell ref="K30:L30"/>
    <mergeCell ref="M30:O30"/>
    <mergeCell ref="P30:Q30"/>
    <mergeCell ref="A27:E27"/>
    <mergeCell ref="F27:I27"/>
    <mergeCell ref="K27:L27"/>
    <mergeCell ref="M27:O27"/>
    <mergeCell ref="P27:Q27"/>
    <mergeCell ref="A28:E28"/>
    <mergeCell ref="F28:I28"/>
    <mergeCell ref="K28:L28"/>
    <mergeCell ref="M28:O28"/>
    <mergeCell ref="P28:Q28"/>
    <mergeCell ref="A25:E25"/>
    <mergeCell ref="F25:I25"/>
    <mergeCell ref="K25:L25"/>
    <mergeCell ref="M25:O25"/>
    <mergeCell ref="P25:Q25"/>
    <mergeCell ref="A26:E26"/>
    <mergeCell ref="F26:I26"/>
    <mergeCell ref="K26:L26"/>
    <mergeCell ref="M26:O26"/>
    <mergeCell ref="P26:Q26"/>
    <mergeCell ref="A23:E23"/>
    <mergeCell ref="F23:I23"/>
    <mergeCell ref="K23:L23"/>
    <mergeCell ref="M23:O23"/>
    <mergeCell ref="P23:Q23"/>
    <mergeCell ref="A24:E24"/>
    <mergeCell ref="F24:I24"/>
    <mergeCell ref="K24:L24"/>
    <mergeCell ref="M24:O24"/>
    <mergeCell ref="P24:Q24"/>
    <mergeCell ref="A21:E21"/>
    <mergeCell ref="F21:I21"/>
    <mergeCell ref="K21:L21"/>
    <mergeCell ref="M21:O21"/>
    <mergeCell ref="P21:Q21"/>
    <mergeCell ref="A22:E22"/>
    <mergeCell ref="F22:I22"/>
    <mergeCell ref="K22:L22"/>
    <mergeCell ref="M22:O22"/>
    <mergeCell ref="P22:Q22"/>
    <mergeCell ref="A19:E19"/>
    <mergeCell ref="F19:I19"/>
    <mergeCell ref="K19:L19"/>
    <mergeCell ref="M19:O19"/>
    <mergeCell ref="P19:Q19"/>
    <mergeCell ref="A20:E20"/>
    <mergeCell ref="F20:I20"/>
    <mergeCell ref="K20:L20"/>
    <mergeCell ref="M20:O20"/>
    <mergeCell ref="P20:Q20"/>
    <mergeCell ref="A17:E17"/>
    <mergeCell ref="F17:I17"/>
    <mergeCell ref="K17:L17"/>
    <mergeCell ref="M17:O17"/>
    <mergeCell ref="P17:Q17"/>
    <mergeCell ref="A18:E18"/>
    <mergeCell ref="F18:I18"/>
    <mergeCell ref="K18:L18"/>
    <mergeCell ref="M18:O18"/>
    <mergeCell ref="P18:Q18"/>
    <mergeCell ref="G13:H13"/>
    <mergeCell ref="I13:W13"/>
    <mergeCell ref="D14:G14"/>
    <mergeCell ref="H14:X14"/>
    <mergeCell ref="A15:H15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7:H7"/>
    <mergeCell ref="I7:W7"/>
    <mergeCell ref="G8:H8"/>
    <mergeCell ref="I8:W8"/>
    <mergeCell ref="C9:H9"/>
    <mergeCell ref="I9:W9"/>
    <mergeCell ref="A1:N3"/>
    <mergeCell ref="U4:V4"/>
    <mergeCell ref="A5:H5"/>
    <mergeCell ref="I5:W5"/>
    <mergeCell ref="A6:H6"/>
    <mergeCell ref="I6:W6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A853-CCA2-4D65-895F-E51317C72E35}">
  <dimension ref="A1:AA44"/>
  <sheetViews>
    <sheetView showGridLines="0" workbookViewId="0">
      <pane ySplit="4" topLeftCell="A16" activePane="bottomLeft" state="frozen"/>
      <selection pane="bottomLeft" activeCell="J18" sqref="J18:J43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324339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81650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1265</v>
      </c>
    </row>
    <row r="4" spans="1:27" ht="12.2" customHeight="1" x14ac:dyDescent="0.25">
      <c r="U4" s="88"/>
      <c r="V4" s="80"/>
      <c r="AA4" s="17">
        <f ca="1">AA2-AA3</f>
        <v>80385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45566</v>
      </c>
      <c r="J15" s="80"/>
      <c r="K15" s="80"/>
      <c r="L15" s="84" t="s">
        <v>17</v>
      </c>
      <c r="M15" s="80"/>
      <c r="N15" s="85">
        <v>45595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427</v>
      </c>
      <c r="L18" s="77"/>
      <c r="M18" s="82">
        <f ca="1">RANDBETWEEN(0,7000)</f>
        <v>1178</v>
      </c>
      <c r="N18" s="76"/>
      <c r="O18" s="77"/>
      <c r="P18" s="82">
        <f ca="1">RANDBETWEEN(0,25000)</f>
        <v>421</v>
      </c>
      <c r="Q18" s="77"/>
      <c r="R18" s="21">
        <f ca="1">RANDBETWEEN(0,100)</f>
        <v>18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42" ca="1" si="0">RANDBETWEEN(0,32500)</f>
        <v>15724</v>
      </c>
      <c r="L19" s="77"/>
      <c r="M19" s="82">
        <f t="shared" ref="M19:M42" ca="1" si="1">RANDBETWEEN(0,7000)</f>
        <v>5203</v>
      </c>
      <c r="N19" s="76"/>
      <c r="O19" s="77"/>
      <c r="P19" s="82">
        <f t="shared" ref="P19:P42" ca="1" si="2">RANDBETWEEN(0,25000)</f>
        <v>17083</v>
      </c>
      <c r="Q19" s="77"/>
      <c r="R19" s="21">
        <f t="shared" ref="R19:R42" ca="1" si="3">RANDBETWEEN(0,100)</f>
        <v>30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13885</v>
      </c>
      <c r="L20" s="77"/>
      <c r="M20" s="82">
        <f t="shared" ca="1" si="1"/>
        <v>1296</v>
      </c>
      <c r="N20" s="76"/>
      <c r="O20" s="77"/>
      <c r="P20" s="82">
        <f t="shared" ca="1" si="2"/>
        <v>12727</v>
      </c>
      <c r="Q20" s="77"/>
      <c r="R20" s="21">
        <f t="shared" ca="1" si="3"/>
        <v>10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4988</v>
      </c>
      <c r="L21" s="77"/>
      <c r="M21" s="82">
        <f t="shared" ca="1" si="1"/>
        <v>4360</v>
      </c>
      <c r="N21" s="76"/>
      <c r="O21" s="77"/>
      <c r="P21" s="82">
        <f t="shared" ca="1" si="2"/>
        <v>16875</v>
      </c>
      <c r="Q21" s="77"/>
      <c r="R21" s="21">
        <f t="shared" ca="1" si="3"/>
        <v>62</v>
      </c>
    </row>
    <row r="22" spans="1:18" x14ac:dyDescent="0.25">
      <c r="A22" s="81" t="s">
        <v>30</v>
      </c>
      <c r="B22" s="76"/>
      <c r="C22" s="76"/>
      <c r="D22" s="76"/>
      <c r="E22" s="77"/>
      <c r="F22" s="81" t="s">
        <v>29</v>
      </c>
      <c r="G22" s="76"/>
      <c r="H22" s="76"/>
      <c r="I22" s="77"/>
      <c r="J22" s="22"/>
      <c r="K22" s="82">
        <f t="shared" ca="1" si="0"/>
        <v>3438</v>
      </c>
      <c r="L22" s="77"/>
      <c r="M22" s="82">
        <f t="shared" ca="1" si="1"/>
        <v>6165</v>
      </c>
      <c r="N22" s="76"/>
      <c r="O22" s="77"/>
      <c r="P22" s="82">
        <f t="shared" ca="1" si="2"/>
        <v>7455</v>
      </c>
      <c r="Q22" s="77"/>
      <c r="R22" s="21">
        <f t="shared" ca="1" si="3"/>
        <v>28</v>
      </c>
    </row>
    <row r="23" spans="1:18" x14ac:dyDescent="0.25">
      <c r="A23" s="81" t="s">
        <v>78</v>
      </c>
      <c r="B23" s="76"/>
      <c r="C23" s="76"/>
      <c r="D23" s="76"/>
      <c r="E23" s="77"/>
      <c r="F23" s="81" t="s">
        <v>77</v>
      </c>
      <c r="G23" s="76"/>
      <c r="H23" s="76"/>
      <c r="I23" s="77"/>
      <c r="J23" s="22"/>
      <c r="K23" s="82">
        <f t="shared" ca="1" si="0"/>
        <v>877</v>
      </c>
      <c r="L23" s="77"/>
      <c r="M23" s="82">
        <f t="shared" ca="1" si="1"/>
        <v>874</v>
      </c>
      <c r="N23" s="76"/>
      <c r="O23" s="77"/>
      <c r="P23" s="82">
        <f t="shared" ca="1" si="2"/>
        <v>1006</v>
      </c>
      <c r="Q23" s="77"/>
      <c r="R23" s="21">
        <f t="shared" ca="1" si="3"/>
        <v>95</v>
      </c>
    </row>
    <row r="24" spans="1:18" x14ac:dyDescent="0.25">
      <c r="A24" s="81" t="s">
        <v>28</v>
      </c>
      <c r="B24" s="76"/>
      <c r="C24" s="76"/>
      <c r="D24" s="76"/>
      <c r="E24" s="77"/>
      <c r="F24" s="81" t="s">
        <v>27</v>
      </c>
      <c r="G24" s="76"/>
      <c r="H24" s="76"/>
      <c r="I24" s="77"/>
      <c r="J24" s="22"/>
      <c r="K24" s="82">
        <f t="shared" ca="1" si="0"/>
        <v>21133</v>
      </c>
      <c r="L24" s="77"/>
      <c r="M24" s="82">
        <f t="shared" ca="1" si="1"/>
        <v>5048</v>
      </c>
      <c r="N24" s="76"/>
      <c r="O24" s="77"/>
      <c r="P24" s="82">
        <f t="shared" ca="1" si="2"/>
        <v>3530</v>
      </c>
      <c r="Q24" s="77"/>
      <c r="R24" s="21">
        <f t="shared" ca="1" si="3"/>
        <v>39</v>
      </c>
    </row>
    <row r="25" spans="1:18" x14ac:dyDescent="0.25">
      <c r="A25" s="81" t="s">
        <v>70</v>
      </c>
      <c r="B25" s="76"/>
      <c r="C25" s="76"/>
      <c r="D25" s="76"/>
      <c r="E25" s="77"/>
      <c r="F25" s="81" t="s">
        <v>69</v>
      </c>
      <c r="G25" s="76"/>
      <c r="H25" s="76"/>
      <c r="I25" s="77"/>
      <c r="J25" s="22"/>
      <c r="K25" s="82">
        <f t="shared" ca="1" si="0"/>
        <v>17039</v>
      </c>
      <c r="L25" s="77"/>
      <c r="M25" s="82">
        <f t="shared" ca="1" si="1"/>
        <v>399</v>
      </c>
      <c r="N25" s="76"/>
      <c r="O25" s="77"/>
      <c r="P25" s="82">
        <f t="shared" ca="1" si="2"/>
        <v>9910</v>
      </c>
      <c r="Q25" s="77"/>
      <c r="R25" s="21">
        <f t="shared" ca="1" si="3"/>
        <v>79</v>
      </c>
    </row>
    <row r="26" spans="1:18" x14ac:dyDescent="0.25">
      <c r="A26" s="81" t="s">
        <v>26</v>
      </c>
      <c r="B26" s="76"/>
      <c r="C26" s="76"/>
      <c r="D26" s="76"/>
      <c r="E26" s="77"/>
      <c r="F26" s="81" t="s">
        <v>25</v>
      </c>
      <c r="G26" s="76"/>
      <c r="H26" s="76"/>
      <c r="I26" s="77"/>
      <c r="J26" s="22"/>
      <c r="K26" s="82">
        <f t="shared" ca="1" si="0"/>
        <v>10151</v>
      </c>
      <c r="L26" s="77"/>
      <c r="M26" s="82">
        <f t="shared" ca="1" si="1"/>
        <v>4221</v>
      </c>
      <c r="N26" s="76"/>
      <c r="O26" s="77"/>
      <c r="P26" s="82">
        <f t="shared" ca="1" si="2"/>
        <v>4452</v>
      </c>
      <c r="Q26" s="77"/>
      <c r="R26" s="21">
        <f t="shared" ca="1" si="3"/>
        <v>91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22176</v>
      </c>
      <c r="L27" s="77"/>
      <c r="M27" s="82">
        <f t="shared" ca="1" si="1"/>
        <v>4082</v>
      </c>
      <c r="N27" s="76"/>
      <c r="O27" s="77"/>
      <c r="P27" s="82">
        <f t="shared" ca="1" si="2"/>
        <v>21595</v>
      </c>
      <c r="Q27" s="77"/>
      <c r="R27" s="21">
        <f t="shared" ca="1" si="3"/>
        <v>0</v>
      </c>
    </row>
    <row r="28" spans="1:18" x14ac:dyDescent="0.25">
      <c r="A28" s="81" t="s">
        <v>86</v>
      </c>
      <c r="B28" s="76"/>
      <c r="C28" s="76"/>
      <c r="D28" s="76"/>
      <c r="E28" s="77"/>
      <c r="F28" s="81" t="s">
        <v>85</v>
      </c>
      <c r="G28" s="76"/>
      <c r="H28" s="76"/>
      <c r="I28" s="77"/>
      <c r="J28" s="22"/>
      <c r="K28" s="82">
        <f t="shared" ca="1" si="0"/>
        <v>28713</v>
      </c>
      <c r="L28" s="77"/>
      <c r="M28" s="82">
        <f t="shared" ca="1" si="1"/>
        <v>1116</v>
      </c>
      <c r="N28" s="76"/>
      <c r="O28" s="77"/>
      <c r="P28" s="82">
        <f t="shared" ca="1" si="2"/>
        <v>16696</v>
      </c>
      <c r="Q28" s="77"/>
      <c r="R28" s="21">
        <f t="shared" ca="1" si="3"/>
        <v>13</v>
      </c>
    </row>
    <row r="29" spans="1:18" x14ac:dyDescent="0.25">
      <c r="A29" s="81" t="s">
        <v>44</v>
      </c>
      <c r="B29" s="76"/>
      <c r="C29" s="76"/>
      <c r="D29" s="76"/>
      <c r="E29" s="77"/>
      <c r="F29" s="81" t="s">
        <v>43</v>
      </c>
      <c r="G29" s="76"/>
      <c r="H29" s="76"/>
      <c r="I29" s="77"/>
      <c r="J29" s="22"/>
      <c r="K29" s="82">
        <f t="shared" ca="1" si="0"/>
        <v>77</v>
      </c>
      <c r="L29" s="77"/>
      <c r="M29" s="82">
        <f t="shared" ca="1" si="1"/>
        <v>3766</v>
      </c>
      <c r="N29" s="76"/>
      <c r="O29" s="77"/>
      <c r="P29" s="82">
        <f t="shared" ca="1" si="2"/>
        <v>3471</v>
      </c>
      <c r="Q29" s="77"/>
      <c r="R29" s="21">
        <f t="shared" ca="1" si="3"/>
        <v>59</v>
      </c>
    </row>
    <row r="30" spans="1:18" x14ac:dyDescent="0.25">
      <c r="A30" s="81" t="s">
        <v>26</v>
      </c>
      <c r="B30" s="76"/>
      <c r="C30" s="76"/>
      <c r="D30" s="76"/>
      <c r="E30" s="77"/>
      <c r="F30" s="81" t="s">
        <v>25</v>
      </c>
      <c r="G30" s="76"/>
      <c r="H30" s="76"/>
      <c r="I30" s="77"/>
      <c r="J30" s="22"/>
      <c r="K30" s="82">
        <f t="shared" ca="1" si="0"/>
        <v>3869</v>
      </c>
      <c r="L30" s="77"/>
      <c r="M30" s="82">
        <f t="shared" ca="1" si="1"/>
        <v>4602</v>
      </c>
      <c r="N30" s="76"/>
      <c r="O30" s="77"/>
      <c r="P30" s="82">
        <f t="shared" ca="1" si="2"/>
        <v>13963</v>
      </c>
      <c r="Q30" s="77"/>
      <c r="R30" s="21">
        <f t="shared" ca="1" si="3"/>
        <v>22</v>
      </c>
    </row>
    <row r="31" spans="1:18" x14ac:dyDescent="0.25">
      <c r="A31" s="81" t="s">
        <v>42</v>
      </c>
      <c r="B31" s="76"/>
      <c r="C31" s="76"/>
      <c r="D31" s="76"/>
      <c r="E31" s="77"/>
      <c r="F31" s="81" t="s">
        <v>41</v>
      </c>
      <c r="G31" s="76"/>
      <c r="H31" s="76"/>
      <c r="I31" s="77"/>
      <c r="J31" s="22"/>
      <c r="K31" s="82">
        <f t="shared" ca="1" si="0"/>
        <v>17556</v>
      </c>
      <c r="L31" s="77"/>
      <c r="M31" s="82">
        <f t="shared" ca="1" si="1"/>
        <v>2158</v>
      </c>
      <c r="N31" s="76"/>
      <c r="O31" s="77"/>
      <c r="P31" s="82">
        <f t="shared" ca="1" si="2"/>
        <v>1552</v>
      </c>
      <c r="Q31" s="77"/>
      <c r="R31" s="21">
        <f t="shared" ca="1" si="3"/>
        <v>98</v>
      </c>
    </row>
    <row r="32" spans="1:18" x14ac:dyDescent="0.25">
      <c r="A32" s="81" t="s">
        <v>24</v>
      </c>
      <c r="B32" s="76"/>
      <c r="C32" s="76"/>
      <c r="D32" s="76"/>
      <c r="E32" s="77"/>
      <c r="F32" s="81" t="s">
        <v>23</v>
      </c>
      <c r="G32" s="76"/>
      <c r="H32" s="76"/>
      <c r="I32" s="77"/>
      <c r="J32" s="22"/>
      <c r="K32" s="82">
        <f t="shared" ca="1" si="0"/>
        <v>8998</v>
      </c>
      <c r="L32" s="77"/>
      <c r="M32" s="82">
        <f t="shared" ca="1" si="1"/>
        <v>5141</v>
      </c>
      <c r="N32" s="76"/>
      <c r="O32" s="77"/>
      <c r="P32" s="82">
        <f t="shared" ca="1" si="2"/>
        <v>17152</v>
      </c>
      <c r="Q32" s="77"/>
      <c r="R32" s="21">
        <f t="shared" ca="1" si="3"/>
        <v>86</v>
      </c>
    </row>
    <row r="33" spans="1:26" x14ac:dyDescent="0.25">
      <c r="A33" s="81" t="s">
        <v>70</v>
      </c>
      <c r="B33" s="76"/>
      <c r="C33" s="76"/>
      <c r="D33" s="76"/>
      <c r="E33" s="77"/>
      <c r="F33" s="81" t="s">
        <v>69</v>
      </c>
      <c r="G33" s="76"/>
      <c r="H33" s="76"/>
      <c r="I33" s="77"/>
      <c r="J33" s="22"/>
      <c r="K33" s="82">
        <f t="shared" ca="1" si="0"/>
        <v>23939</v>
      </c>
      <c r="L33" s="77"/>
      <c r="M33" s="82">
        <f t="shared" ca="1" si="1"/>
        <v>241</v>
      </c>
      <c r="N33" s="76"/>
      <c r="O33" s="77"/>
      <c r="P33" s="82">
        <f t="shared" ca="1" si="2"/>
        <v>15380</v>
      </c>
      <c r="Q33" s="77"/>
      <c r="R33" s="21">
        <f t="shared" ca="1" si="3"/>
        <v>25</v>
      </c>
    </row>
    <row r="34" spans="1:26" x14ac:dyDescent="0.25">
      <c r="A34" s="81" t="s">
        <v>30</v>
      </c>
      <c r="B34" s="76"/>
      <c r="C34" s="76"/>
      <c r="D34" s="76"/>
      <c r="E34" s="77"/>
      <c r="F34" s="81" t="s">
        <v>29</v>
      </c>
      <c r="G34" s="76"/>
      <c r="H34" s="76"/>
      <c r="I34" s="77"/>
      <c r="J34" s="22"/>
      <c r="K34" s="82">
        <f t="shared" ca="1" si="0"/>
        <v>32310</v>
      </c>
      <c r="L34" s="77"/>
      <c r="M34" s="82">
        <f t="shared" ca="1" si="1"/>
        <v>3463</v>
      </c>
      <c r="N34" s="76"/>
      <c r="O34" s="77"/>
      <c r="P34" s="82">
        <f t="shared" ca="1" si="2"/>
        <v>21093</v>
      </c>
      <c r="Q34" s="77"/>
      <c r="R34" s="21">
        <f t="shared" ca="1" si="3"/>
        <v>13</v>
      </c>
    </row>
    <row r="35" spans="1:26" x14ac:dyDescent="0.25">
      <c r="A35" s="81" t="s">
        <v>28</v>
      </c>
      <c r="B35" s="76"/>
      <c r="C35" s="76"/>
      <c r="D35" s="76"/>
      <c r="E35" s="77"/>
      <c r="F35" s="81" t="s">
        <v>27</v>
      </c>
      <c r="G35" s="76"/>
      <c r="H35" s="76"/>
      <c r="I35" s="77"/>
      <c r="J35" s="22"/>
      <c r="K35" s="82">
        <f t="shared" ca="1" si="0"/>
        <v>7722</v>
      </c>
      <c r="L35" s="77"/>
      <c r="M35" s="82">
        <f t="shared" ca="1" si="1"/>
        <v>2496</v>
      </c>
      <c r="N35" s="76"/>
      <c r="O35" s="77"/>
      <c r="P35" s="82">
        <f t="shared" ca="1" si="2"/>
        <v>11177</v>
      </c>
      <c r="Q35" s="77"/>
      <c r="R35" s="21">
        <f t="shared" ca="1" si="3"/>
        <v>39</v>
      </c>
    </row>
    <row r="36" spans="1:26" x14ac:dyDescent="0.25">
      <c r="A36" s="81" t="s">
        <v>28</v>
      </c>
      <c r="B36" s="76"/>
      <c r="C36" s="76"/>
      <c r="D36" s="76"/>
      <c r="E36" s="77"/>
      <c r="F36" s="81" t="s">
        <v>27</v>
      </c>
      <c r="G36" s="76"/>
      <c r="H36" s="76"/>
      <c r="I36" s="77"/>
      <c r="J36" s="22"/>
      <c r="K36" s="82">
        <f t="shared" ca="1" si="0"/>
        <v>2278</v>
      </c>
      <c r="L36" s="77"/>
      <c r="M36" s="82">
        <f t="shared" ca="1" si="1"/>
        <v>5499</v>
      </c>
      <c r="N36" s="76"/>
      <c r="O36" s="77"/>
      <c r="P36" s="82">
        <f t="shared" ca="1" si="2"/>
        <v>1918</v>
      </c>
      <c r="Q36" s="77"/>
      <c r="R36" s="21">
        <f t="shared" ca="1" si="3"/>
        <v>62</v>
      </c>
    </row>
    <row r="37" spans="1:26" x14ac:dyDescent="0.25">
      <c r="A37" s="81" t="s">
        <v>40</v>
      </c>
      <c r="B37" s="76"/>
      <c r="C37" s="76"/>
      <c r="D37" s="76"/>
      <c r="E37" s="77"/>
      <c r="F37" s="81" t="s">
        <v>39</v>
      </c>
      <c r="G37" s="76"/>
      <c r="H37" s="76"/>
      <c r="I37" s="77"/>
      <c r="J37" s="22"/>
      <c r="K37" s="82">
        <f t="shared" ca="1" si="0"/>
        <v>14811</v>
      </c>
      <c r="L37" s="77"/>
      <c r="M37" s="82">
        <f t="shared" ca="1" si="1"/>
        <v>2308</v>
      </c>
      <c r="N37" s="76"/>
      <c r="O37" s="77"/>
      <c r="P37" s="82">
        <f t="shared" ca="1" si="2"/>
        <v>11231</v>
      </c>
      <c r="Q37" s="77"/>
      <c r="R37" s="21">
        <f t="shared" ca="1" si="3"/>
        <v>67</v>
      </c>
    </row>
    <row r="38" spans="1:26" x14ac:dyDescent="0.25">
      <c r="A38" s="81" t="s">
        <v>34</v>
      </c>
      <c r="B38" s="76"/>
      <c r="C38" s="76"/>
      <c r="D38" s="76"/>
      <c r="E38" s="77"/>
      <c r="F38" s="81" t="s">
        <v>33</v>
      </c>
      <c r="G38" s="76"/>
      <c r="H38" s="76"/>
      <c r="I38" s="77"/>
      <c r="J38" s="22"/>
      <c r="K38" s="82">
        <f t="shared" ca="1" si="0"/>
        <v>9592</v>
      </c>
      <c r="L38" s="77"/>
      <c r="M38" s="82">
        <f t="shared" ca="1" si="1"/>
        <v>5031</v>
      </c>
      <c r="N38" s="76"/>
      <c r="O38" s="77"/>
      <c r="P38" s="82">
        <f t="shared" ca="1" si="2"/>
        <v>10082</v>
      </c>
      <c r="Q38" s="77"/>
      <c r="R38" s="21">
        <f t="shared" ca="1" si="3"/>
        <v>100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15403</v>
      </c>
      <c r="L39" s="77"/>
      <c r="M39" s="82">
        <f t="shared" ca="1" si="1"/>
        <v>4482</v>
      </c>
      <c r="N39" s="76"/>
      <c r="O39" s="77"/>
      <c r="P39" s="82">
        <f t="shared" ca="1" si="2"/>
        <v>13139</v>
      </c>
      <c r="Q39" s="77"/>
      <c r="R39" s="21">
        <f t="shared" ca="1" si="3"/>
        <v>45</v>
      </c>
    </row>
    <row r="40" spans="1:26" x14ac:dyDescent="0.25">
      <c r="A40" s="81" t="s">
        <v>32</v>
      </c>
      <c r="B40" s="76"/>
      <c r="C40" s="76"/>
      <c r="D40" s="76"/>
      <c r="E40" s="77"/>
      <c r="F40" s="81" t="s">
        <v>31</v>
      </c>
      <c r="G40" s="76"/>
      <c r="H40" s="76"/>
      <c r="I40" s="77"/>
      <c r="J40" s="22"/>
      <c r="K40" s="82">
        <f t="shared" ca="1" si="0"/>
        <v>15081</v>
      </c>
      <c r="L40" s="77"/>
      <c r="M40" s="82">
        <f t="shared" ca="1" si="1"/>
        <v>1287</v>
      </c>
      <c r="N40" s="76"/>
      <c r="O40" s="77"/>
      <c r="P40" s="82">
        <f t="shared" ca="1" si="2"/>
        <v>22650</v>
      </c>
      <c r="Q40" s="77"/>
      <c r="R40" s="21">
        <f t="shared" ca="1" si="3"/>
        <v>86</v>
      </c>
    </row>
    <row r="41" spans="1:26" x14ac:dyDescent="0.25">
      <c r="A41" s="81" t="s">
        <v>78</v>
      </c>
      <c r="B41" s="76"/>
      <c r="C41" s="76"/>
      <c r="D41" s="76"/>
      <c r="E41" s="77"/>
      <c r="F41" s="81" t="s">
        <v>77</v>
      </c>
      <c r="G41" s="76"/>
      <c r="H41" s="76"/>
      <c r="I41" s="77"/>
      <c r="J41" s="22"/>
      <c r="K41" s="82">
        <f t="shared" ca="1" si="0"/>
        <v>3877</v>
      </c>
      <c r="L41" s="77"/>
      <c r="M41" s="82">
        <f t="shared" ca="1" si="1"/>
        <v>2177</v>
      </c>
      <c r="N41" s="76"/>
      <c r="O41" s="77"/>
      <c r="P41" s="82">
        <f t="shared" ca="1" si="2"/>
        <v>7136</v>
      </c>
      <c r="Q41" s="77"/>
      <c r="R41" s="21">
        <f t="shared" ca="1" si="3"/>
        <v>19</v>
      </c>
    </row>
    <row r="42" spans="1:26" x14ac:dyDescent="0.25">
      <c r="A42" s="81" t="s">
        <v>42</v>
      </c>
      <c r="B42" s="76"/>
      <c r="C42" s="76"/>
      <c r="D42" s="76"/>
      <c r="E42" s="77"/>
      <c r="F42" s="81" t="s">
        <v>41</v>
      </c>
      <c r="G42" s="76"/>
      <c r="H42" s="76"/>
      <c r="I42" s="77"/>
      <c r="J42" s="22"/>
      <c r="K42" s="82">
        <f t="shared" ca="1" si="0"/>
        <v>30275</v>
      </c>
      <c r="L42" s="77"/>
      <c r="M42" s="82">
        <f t="shared" ca="1" si="1"/>
        <v>5057</v>
      </c>
      <c r="N42" s="76"/>
      <c r="O42" s="77"/>
      <c r="P42" s="82">
        <f t="shared" ca="1" si="2"/>
        <v>181</v>
      </c>
      <c r="Q42" s="77"/>
      <c r="R42" s="21">
        <f t="shared" ca="1" si="3"/>
        <v>79</v>
      </c>
    </row>
    <row r="43" spans="1:26" x14ac:dyDescent="0.25">
      <c r="A43" s="75" t="s">
        <v>22</v>
      </c>
      <c r="B43" s="76"/>
      <c r="C43" s="76"/>
      <c r="D43" s="76"/>
      <c r="E43" s="76"/>
      <c r="F43" s="76"/>
      <c r="G43" s="76"/>
      <c r="H43" s="76"/>
      <c r="I43" s="77"/>
      <c r="J43" s="20"/>
      <c r="K43" s="78">
        <f ca="1">SUM(K18:L42)</f>
        <v>324339</v>
      </c>
      <c r="L43" s="77"/>
      <c r="M43" s="78">
        <f ca="1">SUM(M18:O42)</f>
        <v>81650</v>
      </c>
      <c r="N43" s="76"/>
      <c r="O43" s="77"/>
      <c r="P43" s="78">
        <f ca="1">SUM(P18:Q42)</f>
        <v>261875</v>
      </c>
      <c r="Q43" s="77"/>
      <c r="R43" s="19">
        <f ca="1">SUM(R18:R42)</f>
        <v>1265</v>
      </c>
    </row>
    <row r="44" spans="1:26" ht="27" customHeight="1" x14ac:dyDescent="0.25">
      <c r="A44" s="79" t="s">
        <v>21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</sheetData>
  <mergeCells count="161">
    <mergeCell ref="A43:I43"/>
    <mergeCell ref="K43:L43"/>
    <mergeCell ref="M43:O43"/>
    <mergeCell ref="P43:Q43"/>
    <mergeCell ref="A44:Z44"/>
    <mergeCell ref="A41:E41"/>
    <mergeCell ref="F41:I41"/>
    <mergeCell ref="K41:L41"/>
    <mergeCell ref="M41:O41"/>
    <mergeCell ref="P41:Q41"/>
    <mergeCell ref="A42:E42"/>
    <mergeCell ref="F42:I42"/>
    <mergeCell ref="K42:L42"/>
    <mergeCell ref="M42:O42"/>
    <mergeCell ref="P42:Q42"/>
    <mergeCell ref="A39:E39"/>
    <mergeCell ref="F39:I39"/>
    <mergeCell ref="K39:L39"/>
    <mergeCell ref="M39:O39"/>
    <mergeCell ref="P39:Q39"/>
    <mergeCell ref="A40:E40"/>
    <mergeCell ref="F40:I40"/>
    <mergeCell ref="K40:L40"/>
    <mergeCell ref="M40:O40"/>
    <mergeCell ref="P40:Q40"/>
    <mergeCell ref="A37:E37"/>
    <mergeCell ref="F37:I37"/>
    <mergeCell ref="K37:L37"/>
    <mergeCell ref="M37:O37"/>
    <mergeCell ref="P37:Q37"/>
    <mergeCell ref="A38:E38"/>
    <mergeCell ref="F38:I38"/>
    <mergeCell ref="K38:L38"/>
    <mergeCell ref="M38:O38"/>
    <mergeCell ref="P38:Q38"/>
    <mergeCell ref="A35:E35"/>
    <mergeCell ref="F35:I35"/>
    <mergeCell ref="K35:L35"/>
    <mergeCell ref="M35:O35"/>
    <mergeCell ref="P35:Q35"/>
    <mergeCell ref="A36:E36"/>
    <mergeCell ref="F36:I36"/>
    <mergeCell ref="K36:L36"/>
    <mergeCell ref="M36:O36"/>
    <mergeCell ref="P36:Q36"/>
    <mergeCell ref="A33:E33"/>
    <mergeCell ref="F33:I33"/>
    <mergeCell ref="K33:L33"/>
    <mergeCell ref="M33:O33"/>
    <mergeCell ref="P33:Q33"/>
    <mergeCell ref="A34:E34"/>
    <mergeCell ref="F34:I34"/>
    <mergeCell ref="K34:L34"/>
    <mergeCell ref="M34:O34"/>
    <mergeCell ref="P34:Q34"/>
    <mergeCell ref="A31:E31"/>
    <mergeCell ref="F31:I31"/>
    <mergeCell ref="K31:L31"/>
    <mergeCell ref="M31:O31"/>
    <mergeCell ref="P31:Q31"/>
    <mergeCell ref="A32:E32"/>
    <mergeCell ref="F32:I32"/>
    <mergeCell ref="K32:L32"/>
    <mergeCell ref="M32:O32"/>
    <mergeCell ref="P32:Q32"/>
    <mergeCell ref="A29:E29"/>
    <mergeCell ref="F29:I29"/>
    <mergeCell ref="K29:L29"/>
    <mergeCell ref="M29:O29"/>
    <mergeCell ref="P29:Q29"/>
    <mergeCell ref="A30:E30"/>
    <mergeCell ref="F30:I30"/>
    <mergeCell ref="K30:L30"/>
    <mergeCell ref="M30:O30"/>
    <mergeCell ref="P30:Q30"/>
    <mergeCell ref="A27:E27"/>
    <mergeCell ref="F27:I27"/>
    <mergeCell ref="K27:L27"/>
    <mergeCell ref="M27:O27"/>
    <mergeCell ref="P27:Q27"/>
    <mergeCell ref="A28:E28"/>
    <mergeCell ref="F28:I28"/>
    <mergeCell ref="K28:L28"/>
    <mergeCell ref="M28:O28"/>
    <mergeCell ref="P28:Q28"/>
    <mergeCell ref="A25:E25"/>
    <mergeCell ref="F25:I25"/>
    <mergeCell ref="K25:L25"/>
    <mergeCell ref="M25:O25"/>
    <mergeCell ref="P25:Q25"/>
    <mergeCell ref="A26:E26"/>
    <mergeCell ref="F26:I26"/>
    <mergeCell ref="K26:L26"/>
    <mergeCell ref="M26:O26"/>
    <mergeCell ref="P26:Q26"/>
    <mergeCell ref="A23:E23"/>
    <mergeCell ref="F23:I23"/>
    <mergeCell ref="K23:L23"/>
    <mergeCell ref="M23:O23"/>
    <mergeCell ref="P23:Q23"/>
    <mergeCell ref="A24:E24"/>
    <mergeCell ref="F24:I24"/>
    <mergeCell ref="K24:L24"/>
    <mergeCell ref="M24:O24"/>
    <mergeCell ref="P24:Q24"/>
    <mergeCell ref="A21:E21"/>
    <mergeCell ref="F21:I21"/>
    <mergeCell ref="K21:L21"/>
    <mergeCell ref="M21:O21"/>
    <mergeCell ref="P21:Q21"/>
    <mergeCell ref="A22:E22"/>
    <mergeCell ref="F22:I22"/>
    <mergeCell ref="K22:L22"/>
    <mergeCell ref="M22:O22"/>
    <mergeCell ref="P22:Q22"/>
    <mergeCell ref="A19:E19"/>
    <mergeCell ref="F19:I19"/>
    <mergeCell ref="K19:L19"/>
    <mergeCell ref="M19:O19"/>
    <mergeCell ref="P19:Q19"/>
    <mergeCell ref="A20:E20"/>
    <mergeCell ref="F20:I20"/>
    <mergeCell ref="K20:L20"/>
    <mergeCell ref="M20:O20"/>
    <mergeCell ref="P20:Q20"/>
    <mergeCell ref="A17:E17"/>
    <mergeCell ref="F17:I17"/>
    <mergeCell ref="K17:L17"/>
    <mergeCell ref="M17:O17"/>
    <mergeCell ref="P17:Q17"/>
    <mergeCell ref="A18:E18"/>
    <mergeCell ref="F18:I18"/>
    <mergeCell ref="K18:L18"/>
    <mergeCell ref="M18:O18"/>
    <mergeCell ref="P18:Q18"/>
    <mergeCell ref="G13:H13"/>
    <mergeCell ref="I13:W13"/>
    <mergeCell ref="D14:G14"/>
    <mergeCell ref="H14:X14"/>
    <mergeCell ref="A15:H15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7:H7"/>
    <mergeCell ref="I7:W7"/>
    <mergeCell ref="G8:H8"/>
    <mergeCell ref="I8:W8"/>
    <mergeCell ref="C9:H9"/>
    <mergeCell ref="I9:W9"/>
    <mergeCell ref="A1:N3"/>
    <mergeCell ref="U4:V4"/>
    <mergeCell ref="A5:H5"/>
    <mergeCell ref="I5:W5"/>
    <mergeCell ref="A6:H6"/>
    <mergeCell ref="I6:W6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9513-E827-4016-982C-639D3286E4FC}">
  <dimension ref="A1:AA44"/>
  <sheetViews>
    <sheetView showGridLines="0" workbookViewId="0">
      <pane ySplit="4" topLeftCell="A15" activePane="bottomLeft" state="frozen"/>
      <selection pane="bottomLeft" activeCell="J18" sqref="J18:J43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406041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73145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1235</v>
      </c>
    </row>
    <row r="4" spans="1:27" ht="12.2" customHeight="1" x14ac:dyDescent="0.25">
      <c r="U4" s="88"/>
      <c r="V4" s="80"/>
      <c r="AA4" s="17">
        <f ca="1">AA2-AA3</f>
        <v>71910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45597</v>
      </c>
      <c r="J15" s="80"/>
      <c r="K15" s="80"/>
      <c r="L15" s="84" t="s">
        <v>17</v>
      </c>
      <c r="M15" s="80"/>
      <c r="N15" s="85">
        <v>45626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1446</v>
      </c>
      <c r="L18" s="77"/>
      <c r="M18" s="82">
        <f ca="1">RANDBETWEEN(0,7000)</f>
        <v>3513</v>
      </c>
      <c r="N18" s="76"/>
      <c r="O18" s="77"/>
      <c r="P18" s="82">
        <f ca="1">RANDBETWEEN(0,25000)</f>
        <v>3449</v>
      </c>
      <c r="Q18" s="77"/>
      <c r="R18" s="21">
        <f ca="1">RANDBETWEEN(0,100)</f>
        <v>17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42" ca="1" si="0">RANDBETWEEN(0,32500)</f>
        <v>13428</v>
      </c>
      <c r="L19" s="77"/>
      <c r="M19" s="82">
        <f t="shared" ref="M19:M42" ca="1" si="1">RANDBETWEEN(0,7000)</f>
        <v>6081</v>
      </c>
      <c r="N19" s="76"/>
      <c r="O19" s="77"/>
      <c r="P19" s="82">
        <f t="shared" ref="P19:P42" ca="1" si="2">RANDBETWEEN(0,25000)</f>
        <v>8626</v>
      </c>
      <c r="Q19" s="77"/>
      <c r="R19" s="21">
        <f t="shared" ref="R19:R42" ca="1" si="3">RANDBETWEEN(0,100)</f>
        <v>66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17339</v>
      </c>
      <c r="L20" s="77"/>
      <c r="M20" s="82">
        <f t="shared" ca="1" si="1"/>
        <v>2671</v>
      </c>
      <c r="N20" s="76"/>
      <c r="O20" s="77"/>
      <c r="P20" s="82">
        <f t="shared" ca="1" si="2"/>
        <v>253</v>
      </c>
      <c r="Q20" s="77"/>
      <c r="R20" s="21">
        <f t="shared" ca="1" si="3"/>
        <v>6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4869</v>
      </c>
      <c r="L21" s="77"/>
      <c r="M21" s="82">
        <f t="shared" ca="1" si="1"/>
        <v>3732</v>
      </c>
      <c r="N21" s="76"/>
      <c r="O21" s="77"/>
      <c r="P21" s="82">
        <f t="shared" ca="1" si="2"/>
        <v>5455</v>
      </c>
      <c r="Q21" s="77"/>
      <c r="R21" s="21">
        <f t="shared" ca="1" si="3"/>
        <v>4</v>
      </c>
    </row>
    <row r="22" spans="1:18" x14ac:dyDescent="0.25">
      <c r="A22" s="81" t="s">
        <v>30</v>
      </c>
      <c r="B22" s="76"/>
      <c r="C22" s="76"/>
      <c r="D22" s="76"/>
      <c r="E22" s="77"/>
      <c r="F22" s="81" t="s">
        <v>29</v>
      </c>
      <c r="G22" s="76"/>
      <c r="H22" s="76"/>
      <c r="I22" s="77"/>
      <c r="J22" s="22"/>
      <c r="K22" s="82">
        <f t="shared" ca="1" si="0"/>
        <v>9952</v>
      </c>
      <c r="L22" s="77"/>
      <c r="M22" s="82">
        <f t="shared" ca="1" si="1"/>
        <v>4963</v>
      </c>
      <c r="N22" s="76"/>
      <c r="O22" s="77"/>
      <c r="P22" s="82">
        <f t="shared" ca="1" si="2"/>
        <v>19578</v>
      </c>
      <c r="Q22" s="77"/>
      <c r="R22" s="21">
        <f t="shared" ca="1" si="3"/>
        <v>95</v>
      </c>
    </row>
    <row r="23" spans="1:18" x14ac:dyDescent="0.25">
      <c r="A23" s="81" t="s">
        <v>78</v>
      </c>
      <c r="B23" s="76"/>
      <c r="C23" s="76"/>
      <c r="D23" s="76"/>
      <c r="E23" s="77"/>
      <c r="F23" s="81" t="s">
        <v>77</v>
      </c>
      <c r="G23" s="76"/>
      <c r="H23" s="76"/>
      <c r="I23" s="77"/>
      <c r="J23" s="22"/>
      <c r="K23" s="82">
        <f t="shared" ca="1" si="0"/>
        <v>24267</v>
      </c>
      <c r="L23" s="77"/>
      <c r="M23" s="82">
        <f t="shared" ca="1" si="1"/>
        <v>1070</v>
      </c>
      <c r="N23" s="76"/>
      <c r="O23" s="77"/>
      <c r="P23" s="82">
        <f t="shared" ca="1" si="2"/>
        <v>1910</v>
      </c>
      <c r="Q23" s="77"/>
      <c r="R23" s="21">
        <f t="shared" ca="1" si="3"/>
        <v>10</v>
      </c>
    </row>
    <row r="24" spans="1:18" x14ac:dyDescent="0.25">
      <c r="A24" s="81" t="s">
        <v>28</v>
      </c>
      <c r="B24" s="76"/>
      <c r="C24" s="76"/>
      <c r="D24" s="76"/>
      <c r="E24" s="77"/>
      <c r="F24" s="81" t="s">
        <v>27</v>
      </c>
      <c r="G24" s="76"/>
      <c r="H24" s="76"/>
      <c r="I24" s="77"/>
      <c r="J24" s="22"/>
      <c r="K24" s="82">
        <f t="shared" ca="1" si="0"/>
        <v>12574</v>
      </c>
      <c r="L24" s="77"/>
      <c r="M24" s="82">
        <f t="shared" ca="1" si="1"/>
        <v>4249</v>
      </c>
      <c r="N24" s="76"/>
      <c r="O24" s="77"/>
      <c r="P24" s="82">
        <f t="shared" ca="1" si="2"/>
        <v>20171</v>
      </c>
      <c r="Q24" s="77"/>
      <c r="R24" s="21">
        <f t="shared" ca="1" si="3"/>
        <v>7</v>
      </c>
    </row>
    <row r="25" spans="1:18" x14ac:dyDescent="0.25">
      <c r="A25" s="81" t="s">
        <v>70</v>
      </c>
      <c r="B25" s="76"/>
      <c r="C25" s="76"/>
      <c r="D25" s="76"/>
      <c r="E25" s="77"/>
      <c r="F25" s="81" t="s">
        <v>69</v>
      </c>
      <c r="G25" s="76"/>
      <c r="H25" s="76"/>
      <c r="I25" s="77"/>
      <c r="J25" s="22"/>
      <c r="K25" s="82">
        <f t="shared" ca="1" si="0"/>
        <v>10770</v>
      </c>
      <c r="L25" s="77"/>
      <c r="M25" s="82">
        <f t="shared" ca="1" si="1"/>
        <v>4255</v>
      </c>
      <c r="N25" s="76"/>
      <c r="O25" s="77"/>
      <c r="P25" s="82">
        <f t="shared" ca="1" si="2"/>
        <v>18299</v>
      </c>
      <c r="Q25" s="77"/>
      <c r="R25" s="21">
        <f t="shared" ca="1" si="3"/>
        <v>50</v>
      </c>
    </row>
    <row r="26" spans="1:18" x14ac:dyDescent="0.25">
      <c r="A26" s="81" t="s">
        <v>26</v>
      </c>
      <c r="B26" s="76"/>
      <c r="C26" s="76"/>
      <c r="D26" s="76"/>
      <c r="E26" s="77"/>
      <c r="F26" s="81" t="s">
        <v>25</v>
      </c>
      <c r="G26" s="76"/>
      <c r="H26" s="76"/>
      <c r="I26" s="77"/>
      <c r="J26" s="22"/>
      <c r="K26" s="82">
        <f t="shared" ca="1" si="0"/>
        <v>3351</v>
      </c>
      <c r="L26" s="77"/>
      <c r="M26" s="82">
        <f t="shared" ca="1" si="1"/>
        <v>2745</v>
      </c>
      <c r="N26" s="76"/>
      <c r="O26" s="77"/>
      <c r="P26" s="82">
        <f t="shared" ca="1" si="2"/>
        <v>7956</v>
      </c>
      <c r="Q26" s="77"/>
      <c r="R26" s="21">
        <f t="shared" ca="1" si="3"/>
        <v>72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23381</v>
      </c>
      <c r="L27" s="77"/>
      <c r="M27" s="82">
        <f t="shared" ca="1" si="1"/>
        <v>1960</v>
      </c>
      <c r="N27" s="76"/>
      <c r="O27" s="77"/>
      <c r="P27" s="82">
        <f t="shared" ca="1" si="2"/>
        <v>12587</v>
      </c>
      <c r="Q27" s="77"/>
      <c r="R27" s="21">
        <f t="shared" ca="1" si="3"/>
        <v>73</v>
      </c>
    </row>
    <row r="28" spans="1:18" x14ac:dyDescent="0.25">
      <c r="A28" s="81" t="s">
        <v>86</v>
      </c>
      <c r="B28" s="76"/>
      <c r="C28" s="76"/>
      <c r="D28" s="76"/>
      <c r="E28" s="77"/>
      <c r="F28" s="81" t="s">
        <v>85</v>
      </c>
      <c r="G28" s="76"/>
      <c r="H28" s="76"/>
      <c r="I28" s="77"/>
      <c r="J28" s="22"/>
      <c r="K28" s="82">
        <f t="shared" ca="1" si="0"/>
        <v>17480</v>
      </c>
      <c r="L28" s="77"/>
      <c r="M28" s="82">
        <f t="shared" ca="1" si="1"/>
        <v>2224</v>
      </c>
      <c r="N28" s="76"/>
      <c r="O28" s="77"/>
      <c r="P28" s="82">
        <f t="shared" ca="1" si="2"/>
        <v>21661</v>
      </c>
      <c r="Q28" s="77"/>
      <c r="R28" s="21">
        <f t="shared" ca="1" si="3"/>
        <v>100</v>
      </c>
    </row>
    <row r="29" spans="1:18" x14ac:dyDescent="0.25">
      <c r="A29" s="81" t="s">
        <v>44</v>
      </c>
      <c r="B29" s="76"/>
      <c r="C29" s="76"/>
      <c r="D29" s="76"/>
      <c r="E29" s="77"/>
      <c r="F29" s="81" t="s">
        <v>43</v>
      </c>
      <c r="G29" s="76"/>
      <c r="H29" s="76"/>
      <c r="I29" s="77"/>
      <c r="J29" s="22"/>
      <c r="K29" s="82">
        <f t="shared" ca="1" si="0"/>
        <v>6002</v>
      </c>
      <c r="L29" s="77"/>
      <c r="M29" s="82">
        <f t="shared" ca="1" si="1"/>
        <v>4217</v>
      </c>
      <c r="N29" s="76"/>
      <c r="O29" s="77"/>
      <c r="P29" s="82">
        <f t="shared" ca="1" si="2"/>
        <v>16785</v>
      </c>
      <c r="Q29" s="77"/>
      <c r="R29" s="21">
        <f t="shared" ca="1" si="3"/>
        <v>14</v>
      </c>
    </row>
    <row r="30" spans="1:18" x14ac:dyDescent="0.25">
      <c r="A30" s="81" t="s">
        <v>26</v>
      </c>
      <c r="B30" s="76"/>
      <c r="C30" s="76"/>
      <c r="D30" s="76"/>
      <c r="E30" s="77"/>
      <c r="F30" s="81" t="s">
        <v>25</v>
      </c>
      <c r="G30" s="76"/>
      <c r="H30" s="76"/>
      <c r="I30" s="77"/>
      <c r="J30" s="22"/>
      <c r="K30" s="82">
        <f t="shared" ca="1" si="0"/>
        <v>23506</v>
      </c>
      <c r="L30" s="77"/>
      <c r="M30" s="82">
        <f t="shared" ca="1" si="1"/>
        <v>628</v>
      </c>
      <c r="N30" s="76"/>
      <c r="O30" s="77"/>
      <c r="P30" s="82">
        <f t="shared" ca="1" si="2"/>
        <v>12460</v>
      </c>
      <c r="Q30" s="77"/>
      <c r="R30" s="21">
        <f t="shared" ca="1" si="3"/>
        <v>71</v>
      </c>
    </row>
    <row r="31" spans="1:18" x14ac:dyDescent="0.25">
      <c r="A31" s="81" t="s">
        <v>42</v>
      </c>
      <c r="B31" s="76"/>
      <c r="C31" s="76"/>
      <c r="D31" s="76"/>
      <c r="E31" s="77"/>
      <c r="F31" s="81" t="s">
        <v>41</v>
      </c>
      <c r="G31" s="76"/>
      <c r="H31" s="76"/>
      <c r="I31" s="77"/>
      <c r="J31" s="22"/>
      <c r="K31" s="82">
        <f t="shared" ca="1" si="0"/>
        <v>20906</v>
      </c>
      <c r="L31" s="77"/>
      <c r="M31" s="82">
        <f t="shared" ca="1" si="1"/>
        <v>6763</v>
      </c>
      <c r="N31" s="76"/>
      <c r="O31" s="77"/>
      <c r="P31" s="82">
        <f t="shared" ca="1" si="2"/>
        <v>15451</v>
      </c>
      <c r="Q31" s="77"/>
      <c r="R31" s="21">
        <f t="shared" ca="1" si="3"/>
        <v>95</v>
      </c>
    </row>
    <row r="32" spans="1:18" x14ac:dyDescent="0.25">
      <c r="A32" s="81" t="s">
        <v>24</v>
      </c>
      <c r="B32" s="76"/>
      <c r="C32" s="76"/>
      <c r="D32" s="76"/>
      <c r="E32" s="77"/>
      <c r="F32" s="81" t="s">
        <v>23</v>
      </c>
      <c r="G32" s="76"/>
      <c r="H32" s="76"/>
      <c r="I32" s="77"/>
      <c r="J32" s="22"/>
      <c r="K32" s="82">
        <f t="shared" ca="1" si="0"/>
        <v>25705</v>
      </c>
      <c r="L32" s="77"/>
      <c r="M32" s="82">
        <f t="shared" ca="1" si="1"/>
        <v>568</v>
      </c>
      <c r="N32" s="76"/>
      <c r="O32" s="77"/>
      <c r="P32" s="82">
        <f t="shared" ca="1" si="2"/>
        <v>20602</v>
      </c>
      <c r="Q32" s="77"/>
      <c r="R32" s="21">
        <f t="shared" ca="1" si="3"/>
        <v>41</v>
      </c>
    </row>
    <row r="33" spans="1:26" x14ac:dyDescent="0.25">
      <c r="A33" s="81" t="s">
        <v>70</v>
      </c>
      <c r="B33" s="76"/>
      <c r="C33" s="76"/>
      <c r="D33" s="76"/>
      <c r="E33" s="77"/>
      <c r="F33" s="81" t="s">
        <v>69</v>
      </c>
      <c r="G33" s="76"/>
      <c r="H33" s="76"/>
      <c r="I33" s="77"/>
      <c r="J33" s="22"/>
      <c r="K33" s="82">
        <f t="shared" ca="1" si="0"/>
        <v>29086</v>
      </c>
      <c r="L33" s="77"/>
      <c r="M33" s="82">
        <f t="shared" ca="1" si="1"/>
        <v>3290</v>
      </c>
      <c r="N33" s="76"/>
      <c r="O33" s="77"/>
      <c r="P33" s="82">
        <f t="shared" ca="1" si="2"/>
        <v>20926</v>
      </c>
      <c r="Q33" s="77"/>
      <c r="R33" s="21">
        <f t="shared" ca="1" si="3"/>
        <v>38</v>
      </c>
    </row>
    <row r="34" spans="1:26" x14ac:dyDescent="0.25">
      <c r="A34" s="81" t="s">
        <v>30</v>
      </c>
      <c r="B34" s="76"/>
      <c r="C34" s="76"/>
      <c r="D34" s="76"/>
      <c r="E34" s="77"/>
      <c r="F34" s="81" t="s">
        <v>29</v>
      </c>
      <c r="G34" s="76"/>
      <c r="H34" s="76"/>
      <c r="I34" s="77"/>
      <c r="J34" s="22"/>
      <c r="K34" s="82">
        <f t="shared" ca="1" si="0"/>
        <v>23662</v>
      </c>
      <c r="L34" s="77"/>
      <c r="M34" s="82">
        <f t="shared" ca="1" si="1"/>
        <v>1382</v>
      </c>
      <c r="N34" s="76"/>
      <c r="O34" s="77"/>
      <c r="P34" s="82">
        <f t="shared" ca="1" si="2"/>
        <v>8099</v>
      </c>
      <c r="Q34" s="77"/>
      <c r="R34" s="21">
        <f t="shared" ca="1" si="3"/>
        <v>25</v>
      </c>
    </row>
    <row r="35" spans="1:26" x14ac:dyDescent="0.25">
      <c r="A35" s="81" t="s">
        <v>28</v>
      </c>
      <c r="B35" s="76"/>
      <c r="C35" s="76"/>
      <c r="D35" s="76"/>
      <c r="E35" s="77"/>
      <c r="F35" s="81" t="s">
        <v>27</v>
      </c>
      <c r="G35" s="76"/>
      <c r="H35" s="76"/>
      <c r="I35" s="77"/>
      <c r="J35" s="22"/>
      <c r="K35" s="82">
        <f t="shared" ca="1" si="0"/>
        <v>5600</v>
      </c>
      <c r="L35" s="77"/>
      <c r="M35" s="82">
        <f t="shared" ca="1" si="1"/>
        <v>3720</v>
      </c>
      <c r="N35" s="76"/>
      <c r="O35" s="77"/>
      <c r="P35" s="82">
        <f t="shared" ca="1" si="2"/>
        <v>9678</v>
      </c>
      <c r="Q35" s="77"/>
      <c r="R35" s="21">
        <f t="shared" ca="1" si="3"/>
        <v>43</v>
      </c>
    </row>
    <row r="36" spans="1:26" x14ac:dyDescent="0.25">
      <c r="A36" s="81" t="s">
        <v>28</v>
      </c>
      <c r="B36" s="76"/>
      <c r="C36" s="76"/>
      <c r="D36" s="76"/>
      <c r="E36" s="77"/>
      <c r="F36" s="81" t="s">
        <v>27</v>
      </c>
      <c r="G36" s="76"/>
      <c r="H36" s="76"/>
      <c r="I36" s="77"/>
      <c r="J36" s="22"/>
      <c r="K36" s="82">
        <f t="shared" ca="1" si="0"/>
        <v>9093</v>
      </c>
      <c r="L36" s="77"/>
      <c r="M36" s="82">
        <f t="shared" ca="1" si="1"/>
        <v>890</v>
      </c>
      <c r="N36" s="76"/>
      <c r="O36" s="77"/>
      <c r="P36" s="82">
        <f t="shared" ca="1" si="2"/>
        <v>4466</v>
      </c>
      <c r="Q36" s="77"/>
      <c r="R36" s="21">
        <f t="shared" ca="1" si="3"/>
        <v>100</v>
      </c>
    </row>
    <row r="37" spans="1:26" x14ac:dyDescent="0.25">
      <c r="A37" s="81" t="s">
        <v>40</v>
      </c>
      <c r="B37" s="76"/>
      <c r="C37" s="76"/>
      <c r="D37" s="76"/>
      <c r="E37" s="77"/>
      <c r="F37" s="81" t="s">
        <v>39</v>
      </c>
      <c r="G37" s="76"/>
      <c r="H37" s="76"/>
      <c r="I37" s="77"/>
      <c r="J37" s="22"/>
      <c r="K37" s="82">
        <f t="shared" ca="1" si="0"/>
        <v>11593</v>
      </c>
      <c r="L37" s="77"/>
      <c r="M37" s="82">
        <f t="shared" ca="1" si="1"/>
        <v>203</v>
      </c>
      <c r="N37" s="76"/>
      <c r="O37" s="77"/>
      <c r="P37" s="82">
        <f t="shared" ca="1" si="2"/>
        <v>7388</v>
      </c>
      <c r="Q37" s="77"/>
      <c r="R37" s="21">
        <f t="shared" ca="1" si="3"/>
        <v>21</v>
      </c>
    </row>
    <row r="38" spans="1:26" x14ac:dyDescent="0.25">
      <c r="A38" s="81" t="s">
        <v>34</v>
      </c>
      <c r="B38" s="76"/>
      <c r="C38" s="76"/>
      <c r="D38" s="76"/>
      <c r="E38" s="77"/>
      <c r="F38" s="81" t="s">
        <v>33</v>
      </c>
      <c r="G38" s="76"/>
      <c r="H38" s="76"/>
      <c r="I38" s="77"/>
      <c r="J38" s="22"/>
      <c r="K38" s="82">
        <f t="shared" ca="1" si="0"/>
        <v>7617</v>
      </c>
      <c r="L38" s="77"/>
      <c r="M38" s="82">
        <f t="shared" ca="1" si="1"/>
        <v>5057</v>
      </c>
      <c r="N38" s="76"/>
      <c r="O38" s="77"/>
      <c r="P38" s="82">
        <f t="shared" ca="1" si="2"/>
        <v>22933</v>
      </c>
      <c r="Q38" s="77"/>
      <c r="R38" s="21">
        <f t="shared" ca="1" si="3"/>
        <v>37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20810</v>
      </c>
      <c r="L39" s="77"/>
      <c r="M39" s="82">
        <f t="shared" ca="1" si="1"/>
        <v>3175</v>
      </c>
      <c r="N39" s="76"/>
      <c r="O39" s="77"/>
      <c r="P39" s="82">
        <f t="shared" ca="1" si="2"/>
        <v>5085</v>
      </c>
      <c r="Q39" s="77"/>
      <c r="R39" s="21">
        <f t="shared" ca="1" si="3"/>
        <v>34</v>
      </c>
    </row>
    <row r="40" spans="1:26" x14ac:dyDescent="0.25">
      <c r="A40" s="81" t="s">
        <v>32</v>
      </c>
      <c r="B40" s="76"/>
      <c r="C40" s="76"/>
      <c r="D40" s="76"/>
      <c r="E40" s="77"/>
      <c r="F40" s="81" t="s">
        <v>31</v>
      </c>
      <c r="G40" s="76"/>
      <c r="H40" s="76"/>
      <c r="I40" s="77"/>
      <c r="J40" s="22"/>
      <c r="K40" s="82">
        <f t="shared" ca="1" si="0"/>
        <v>30385</v>
      </c>
      <c r="L40" s="77"/>
      <c r="M40" s="82">
        <f t="shared" ca="1" si="1"/>
        <v>66</v>
      </c>
      <c r="N40" s="76"/>
      <c r="O40" s="77"/>
      <c r="P40" s="82">
        <f t="shared" ca="1" si="2"/>
        <v>20738</v>
      </c>
      <c r="Q40" s="77"/>
      <c r="R40" s="21">
        <f t="shared" ca="1" si="3"/>
        <v>64</v>
      </c>
    </row>
    <row r="41" spans="1:26" x14ac:dyDescent="0.25">
      <c r="A41" s="81" t="s">
        <v>78</v>
      </c>
      <c r="B41" s="76"/>
      <c r="C41" s="76"/>
      <c r="D41" s="76"/>
      <c r="E41" s="77"/>
      <c r="F41" s="81" t="s">
        <v>77</v>
      </c>
      <c r="G41" s="76"/>
      <c r="H41" s="76"/>
      <c r="I41" s="77"/>
      <c r="J41" s="22"/>
      <c r="K41" s="82">
        <f t="shared" ca="1" si="0"/>
        <v>20969</v>
      </c>
      <c r="L41" s="77"/>
      <c r="M41" s="82">
        <f t="shared" ca="1" si="1"/>
        <v>4196</v>
      </c>
      <c r="N41" s="76"/>
      <c r="O41" s="77"/>
      <c r="P41" s="82">
        <f t="shared" ca="1" si="2"/>
        <v>5437</v>
      </c>
      <c r="Q41" s="77"/>
      <c r="R41" s="21">
        <f t="shared" ca="1" si="3"/>
        <v>79</v>
      </c>
    </row>
    <row r="42" spans="1:26" x14ac:dyDescent="0.25">
      <c r="A42" s="81" t="s">
        <v>42</v>
      </c>
      <c r="B42" s="76"/>
      <c r="C42" s="76"/>
      <c r="D42" s="76"/>
      <c r="E42" s="77"/>
      <c r="F42" s="81" t="s">
        <v>41</v>
      </c>
      <c r="G42" s="76"/>
      <c r="H42" s="76"/>
      <c r="I42" s="77"/>
      <c r="J42" s="22"/>
      <c r="K42" s="82">
        <f t="shared" ca="1" si="0"/>
        <v>32250</v>
      </c>
      <c r="L42" s="77"/>
      <c r="M42" s="82">
        <f t="shared" ca="1" si="1"/>
        <v>1527</v>
      </c>
      <c r="N42" s="76"/>
      <c r="O42" s="77"/>
      <c r="P42" s="82">
        <f t="shared" ca="1" si="2"/>
        <v>10441</v>
      </c>
      <c r="Q42" s="77"/>
      <c r="R42" s="21">
        <f t="shared" ca="1" si="3"/>
        <v>73</v>
      </c>
    </row>
    <row r="43" spans="1:26" x14ac:dyDescent="0.25">
      <c r="A43" s="75" t="s">
        <v>22</v>
      </c>
      <c r="B43" s="76"/>
      <c r="C43" s="76"/>
      <c r="D43" s="76"/>
      <c r="E43" s="76"/>
      <c r="F43" s="76"/>
      <c r="G43" s="76"/>
      <c r="H43" s="76"/>
      <c r="I43" s="77"/>
      <c r="J43" s="20"/>
      <c r="K43" s="78">
        <f ca="1">SUM(K18:L42)</f>
        <v>406041</v>
      </c>
      <c r="L43" s="77"/>
      <c r="M43" s="78">
        <f ca="1">SUM(M18:O42)</f>
        <v>73145</v>
      </c>
      <c r="N43" s="76"/>
      <c r="O43" s="77"/>
      <c r="P43" s="78">
        <f ca="1">SUM(P18:Q42)</f>
        <v>300434</v>
      </c>
      <c r="Q43" s="77"/>
      <c r="R43" s="19">
        <f ca="1">SUM(R18:R42)</f>
        <v>1235</v>
      </c>
    </row>
    <row r="44" spans="1:26" ht="27" customHeight="1" x14ac:dyDescent="0.25">
      <c r="A44" s="79" t="s">
        <v>21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</sheetData>
  <mergeCells count="161">
    <mergeCell ref="A43:I43"/>
    <mergeCell ref="K43:L43"/>
    <mergeCell ref="M43:O43"/>
    <mergeCell ref="P43:Q43"/>
    <mergeCell ref="A44:Z44"/>
    <mergeCell ref="A41:E41"/>
    <mergeCell ref="F41:I41"/>
    <mergeCell ref="K41:L41"/>
    <mergeCell ref="M41:O41"/>
    <mergeCell ref="P41:Q41"/>
    <mergeCell ref="A42:E42"/>
    <mergeCell ref="F42:I42"/>
    <mergeCell ref="K42:L42"/>
    <mergeCell ref="M42:O42"/>
    <mergeCell ref="P42:Q42"/>
    <mergeCell ref="A39:E39"/>
    <mergeCell ref="F39:I39"/>
    <mergeCell ref="K39:L39"/>
    <mergeCell ref="M39:O39"/>
    <mergeCell ref="P39:Q39"/>
    <mergeCell ref="A40:E40"/>
    <mergeCell ref="F40:I40"/>
    <mergeCell ref="K40:L40"/>
    <mergeCell ref="M40:O40"/>
    <mergeCell ref="P40:Q40"/>
    <mergeCell ref="A37:E37"/>
    <mergeCell ref="F37:I37"/>
    <mergeCell ref="K37:L37"/>
    <mergeCell ref="M37:O37"/>
    <mergeCell ref="P37:Q37"/>
    <mergeCell ref="A38:E38"/>
    <mergeCell ref="F38:I38"/>
    <mergeCell ref="K38:L38"/>
    <mergeCell ref="M38:O38"/>
    <mergeCell ref="P38:Q38"/>
    <mergeCell ref="A35:E35"/>
    <mergeCell ref="F35:I35"/>
    <mergeCell ref="K35:L35"/>
    <mergeCell ref="M35:O35"/>
    <mergeCell ref="P35:Q35"/>
    <mergeCell ref="A36:E36"/>
    <mergeCell ref="F36:I36"/>
    <mergeCell ref="K36:L36"/>
    <mergeCell ref="M36:O36"/>
    <mergeCell ref="P36:Q36"/>
    <mergeCell ref="A33:E33"/>
    <mergeCell ref="F33:I33"/>
    <mergeCell ref="K33:L33"/>
    <mergeCell ref="M33:O33"/>
    <mergeCell ref="P33:Q33"/>
    <mergeCell ref="A34:E34"/>
    <mergeCell ref="F34:I34"/>
    <mergeCell ref="K34:L34"/>
    <mergeCell ref="M34:O34"/>
    <mergeCell ref="P34:Q34"/>
    <mergeCell ref="A31:E31"/>
    <mergeCell ref="F31:I31"/>
    <mergeCell ref="K31:L31"/>
    <mergeCell ref="M31:O31"/>
    <mergeCell ref="P31:Q31"/>
    <mergeCell ref="A32:E32"/>
    <mergeCell ref="F32:I32"/>
    <mergeCell ref="K32:L32"/>
    <mergeCell ref="M32:O32"/>
    <mergeCell ref="P32:Q32"/>
    <mergeCell ref="A29:E29"/>
    <mergeCell ref="F29:I29"/>
    <mergeCell ref="K29:L29"/>
    <mergeCell ref="M29:O29"/>
    <mergeCell ref="P29:Q29"/>
    <mergeCell ref="A30:E30"/>
    <mergeCell ref="F30:I30"/>
    <mergeCell ref="K30:L30"/>
    <mergeCell ref="M30:O30"/>
    <mergeCell ref="P30:Q30"/>
    <mergeCell ref="A27:E27"/>
    <mergeCell ref="F27:I27"/>
    <mergeCell ref="K27:L27"/>
    <mergeCell ref="M27:O27"/>
    <mergeCell ref="P27:Q27"/>
    <mergeCell ref="A28:E28"/>
    <mergeCell ref="F28:I28"/>
    <mergeCell ref="K28:L28"/>
    <mergeCell ref="M28:O28"/>
    <mergeCell ref="P28:Q28"/>
    <mergeCell ref="A25:E25"/>
    <mergeCell ref="F25:I25"/>
    <mergeCell ref="K25:L25"/>
    <mergeCell ref="M25:O25"/>
    <mergeCell ref="P25:Q25"/>
    <mergeCell ref="A26:E26"/>
    <mergeCell ref="F26:I26"/>
    <mergeCell ref="K26:L26"/>
    <mergeCell ref="M26:O26"/>
    <mergeCell ref="P26:Q26"/>
    <mergeCell ref="A23:E23"/>
    <mergeCell ref="F23:I23"/>
    <mergeCell ref="K23:L23"/>
    <mergeCell ref="M23:O23"/>
    <mergeCell ref="P23:Q23"/>
    <mergeCell ref="A24:E24"/>
    <mergeCell ref="F24:I24"/>
    <mergeCell ref="K24:L24"/>
    <mergeCell ref="M24:O24"/>
    <mergeCell ref="P24:Q24"/>
    <mergeCell ref="A21:E21"/>
    <mergeCell ref="F21:I21"/>
    <mergeCell ref="K21:L21"/>
    <mergeCell ref="M21:O21"/>
    <mergeCell ref="P21:Q21"/>
    <mergeCell ref="A22:E22"/>
    <mergeCell ref="F22:I22"/>
    <mergeCell ref="K22:L22"/>
    <mergeCell ref="M22:O22"/>
    <mergeCell ref="P22:Q22"/>
    <mergeCell ref="A19:E19"/>
    <mergeCell ref="F19:I19"/>
    <mergeCell ref="K19:L19"/>
    <mergeCell ref="M19:O19"/>
    <mergeCell ref="P19:Q19"/>
    <mergeCell ref="A20:E20"/>
    <mergeCell ref="F20:I20"/>
    <mergeCell ref="K20:L20"/>
    <mergeCell ref="M20:O20"/>
    <mergeCell ref="P20:Q20"/>
    <mergeCell ref="A17:E17"/>
    <mergeCell ref="F17:I17"/>
    <mergeCell ref="K17:L17"/>
    <mergeCell ref="M17:O17"/>
    <mergeCell ref="P17:Q17"/>
    <mergeCell ref="A18:E18"/>
    <mergeCell ref="F18:I18"/>
    <mergeCell ref="K18:L18"/>
    <mergeCell ref="M18:O18"/>
    <mergeCell ref="P18:Q18"/>
    <mergeCell ref="G13:H13"/>
    <mergeCell ref="I13:W13"/>
    <mergeCell ref="D14:G14"/>
    <mergeCell ref="H14:X14"/>
    <mergeCell ref="A15:H15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7:H7"/>
    <mergeCell ref="I7:W7"/>
    <mergeCell ref="G8:H8"/>
    <mergeCell ref="I8:W8"/>
    <mergeCell ref="C9:H9"/>
    <mergeCell ref="I9:W9"/>
    <mergeCell ref="A1:N3"/>
    <mergeCell ref="U4:V4"/>
    <mergeCell ref="A5:H5"/>
    <mergeCell ref="I5:W5"/>
    <mergeCell ref="A6:H6"/>
    <mergeCell ref="I6:W6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8258-6BA0-4657-9EB3-D59678AF3966}">
  <dimension ref="A1:AA44"/>
  <sheetViews>
    <sheetView showGridLines="0" workbookViewId="0">
      <pane ySplit="4" topLeftCell="A15" activePane="bottomLeft" state="frozen"/>
      <selection pane="bottomLeft" activeCell="J18" sqref="J18:J43"/>
    </sheetView>
  </sheetViews>
  <sheetFormatPr defaultRowHeight="15" x14ac:dyDescent="0.25"/>
  <cols>
    <col min="1" max="1" width="2.7109375" style="17" customWidth="1"/>
    <col min="2" max="2" width="2.42578125" style="17" customWidth="1"/>
    <col min="3" max="4" width="0.140625" style="17" customWidth="1"/>
    <col min="5" max="5" width="2.85546875" style="17" customWidth="1"/>
    <col min="6" max="6" width="2" style="17" customWidth="1"/>
    <col min="7" max="7" width="13.5703125" style="17" customWidth="1"/>
    <col min="8" max="8" width="0.140625" style="17" customWidth="1"/>
    <col min="9" max="9" width="1" style="17" customWidth="1"/>
    <col min="10" max="11" width="5.5703125" style="17" customWidth="1"/>
    <col min="12" max="12" width="4.140625" style="17" customWidth="1"/>
    <col min="13" max="13" width="1" style="17" customWidth="1"/>
    <col min="14" max="14" width="3.42578125" style="17" customWidth="1"/>
    <col min="15" max="15" width="5.28515625" style="17" customWidth="1"/>
    <col min="16" max="16" width="3.28515625" style="17" customWidth="1"/>
    <col min="17" max="17" width="7.7109375" style="17" customWidth="1"/>
    <col min="18" max="18" width="9.7109375" style="17" customWidth="1"/>
    <col min="19" max="19" width="0" style="17" hidden="1" customWidth="1"/>
    <col min="20" max="20" width="39.140625" style="17" customWidth="1"/>
    <col min="21" max="21" width="13.7109375" style="17" customWidth="1"/>
    <col min="22" max="22" width="6.85546875" style="17" customWidth="1"/>
    <col min="23" max="23" width="3.42578125" style="17" customWidth="1"/>
    <col min="24" max="24" width="5" style="17" customWidth="1"/>
    <col min="25" max="25" width="0.140625" style="17" customWidth="1"/>
    <col min="26" max="26" width="3.42578125" style="17" customWidth="1"/>
    <col min="27" max="27" width="12" style="17" customWidth="1"/>
    <col min="28" max="16384" width="9.140625" style="17"/>
  </cols>
  <sheetData>
    <row r="1" spans="1:27" x14ac:dyDescent="0.25">
      <c r="A1" s="84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AA1" s="17">
        <f ca="1">IF(ISBLANK(A17),0,INDEX(A:A:R:R,MATCH("Total",A:A,0),MATCH("Charges",A17:R17,0)))</f>
        <v>444337</v>
      </c>
    </row>
    <row r="2" spans="1:27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U2" s="18" t="s">
        <v>66</v>
      </c>
      <c r="AA2" s="17">
        <f ca="1">IF(ISBLANK(A17),0,INDEX(A:A:R:R,MATCH("Total",A:A,0),MATCH("Payments",A17:R17,0)))</f>
        <v>78865</v>
      </c>
    </row>
    <row r="3" spans="1:27" x14ac:dyDescent="0.2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AA3" s="17">
        <f ca="1">IF(ISBLANK(A17),0,INDEX(A:A:R:R,MATCH("Total",A:A,0),MATCH("Refunds",A17:R17,0)))</f>
        <v>1439</v>
      </c>
    </row>
    <row r="4" spans="1:27" ht="12.2" customHeight="1" x14ac:dyDescent="0.25">
      <c r="U4" s="88"/>
      <c r="V4" s="80"/>
      <c r="AA4" s="17">
        <f ca="1">AA2-AA3</f>
        <v>77426</v>
      </c>
    </row>
    <row r="5" spans="1:27" ht="18" customHeight="1" x14ac:dyDescent="0.25">
      <c r="A5" s="83" t="s">
        <v>65</v>
      </c>
      <c r="B5" s="80"/>
      <c r="C5" s="80"/>
      <c r="D5" s="80"/>
      <c r="E5" s="80"/>
      <c r="F5" s="80"/>
      <c r="G5" s="80"/>
      <c r="H5" s="80"/>
      <c r="I5" s="84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spans="1:27" ht="18" customHeight="1" x14ac:dyDescent="0.25">
      <c r="A6" s="83" t="s">
        <v>64</v>
      </c>
      <c r="B6" s="80"/>
      <c r="C6" s="80"/>
      <c r="D6" s="80"/>
      <c r="E6" s="80"/>
      <c r="F6" s="80"/>
      <c r="G6" s="80"/>
      <c r="H6" s="80"/>
      <c r="I6" s="84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</row>
    <row r="7" spans="1:27" ht="18" customHeight="1" x14ac:dyDescent="0.25">
      <c r="A7" s="83" t="s">
        <v>63</v>
      </c>
      <c r="B7" s="80"/>
      <c r="C7" s="80"/>
      <c r="D7" s="80"/>
      <c r="E7" s="80"/>
      <c r="F7" s="80"/>
      <c r="G7" s="80"/>
      <c r="H7" s="80"/>
      <c r="I7" s="84" t="s">
        <v>53</v>
      </c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</row>
    <row r="8" spans="1:27" ht="18" customHeight="1" x14ac:dyDescent="0.25">
      <c r="G8" s="83" t="s">
        <v>62</v>
      </c>
      <c r="H8" s="80"/>
      <c r="I8" s="84" t="s">
        <v>53</v>
      </c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7" ht="18" customHeight="1" x14ac:dyDescent="0.25">
      <c r="C9" s="83" t="s">
        <v>61</v>
      </c>
      <c r="D9" s="80"/>
      <c r="E9" s="80"/>
      <c r="F9" s="80"/>
      <c r="G9" s="80"/>
      <c r="H9" s="80"/>
      <c r="I9" s="84" t="s">
        <v>53</v>
      </c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</row>
    <row r="10" spans="1:27" ht="18" customHeight="1" x14ac:dyDescent="0.25">
      <c r="C10" s="83" t="s">
        <v>60</v>
      </c>
      <c r="D10" s="80"/>
      <c r="E10" s="80"/>
      <c r="F10" s="80"/>
      <c r="G10" s="80"/>
      <c r="H10" s="80"/>
      <c r="I10" s="84" t="s">
        <v>53</v>
      </c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</row>
    <row r="11" spans="1:27" ht="18" customHeight="1" x14ac:dyDescent="0.25">
      <c r="B11" s="83" t="s">
        <v>59</v>
      </c>
      <c r="C11" s="80"/>
      <c r="D11" s="80"/>
      <c r="E11" s="80"/>
      <c r="F11" s="80"/>
      <c r="G11" s="80"/>
      <c r="H11" s="80"/>
      <c r="I11" s="84" t="s">
        <v>58</v>
      </c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</row>
    <row r="12" spans="1:27" ht="18" customHeight="1" x14ac:dyDescent="0.25">
      <c r="E12" s="83" t="s">
        <v>57</v>
      </c>
      <c r="F12" s="80"/>
      <c r="G12" s="80"/>
      <c r="H12" s="80"/>
      <c r="I12" s="84" t="s">
        <v>53</v>
      </c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</row>
    <row r="13" spans="1:27" ht="18" customHeight="1" x14ac:dyDescent="0.25">
      <c r="G13" s="83" t="s">
        <v>56</v>
      </c>
      <c r="H13" s="80"/>
      <c r="I13" s="84" t="s">
        <v>55</v>
      </c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</row>
    <row r="14" spans="1:27" ht="18" customHeight="1" x14ac:dyDescent="0.25">
      <c r="D14" s="83" t="s">
        <v>54</v>
      </c>
      <c r="E14" s="80"/>
      <c r="F14" s="80"/>
      <c r="G14" s="80"/>
      <c r="H14" s="84" t="s">
        <v>53</v>
      </c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</row>
    <row r="15" spans="1:27" ht="18" customHeight="1" x14ac:dyDescent="0.25">
      <c r="A15" s="83" t="s">
        <v>52</v>
      </c>
      <c r="B15" s="80"/>
      <c r="C15" s="80"/>
      <c r="D15" s="80"/>
      <c r="E15" s="80"/>
      <c r="F15" s="80"/>
      <c r="G15" s="80"/>
      <c r="H15" s="80"/>
      <c r="I15" s="85">
        <v>45627</v>
      </c>
      <c r="J15" s="80"/>
      <c r="K15" s="80"/>
      <c r="L15" s="84" t="s">
        <v>17</v>
      </c>
      <c r="M15" s="80"/>
      <c r="N15" s="85">
        <v>45656</v>
      </c>
      <c r="O15" s="80"/>
      <c r="P15" s="80"/>
    </row>
    <row r="16" spans="1:27" ht="9" customHeight="1" x14ac:dyDescent="0.25"/>
    <row r="17" spans="1:18" x14ac:dyDescent="0.25">
      <c r="A17" s="86" t="s">
        <v>51</v>
      </c>
      <c r="B17" s="76"/>
      <c r="C17" s="76"/>
      <c r="D17" s="76"/>
      <c r="E17" s="77"/>
      <c r="F17" s="86" t="s">
        <v>50</v>
      </c>
      <c r="G17" s="76"/>
      <c r="H17" s="76"/>
      <c r="I17" s="77"/>
      <c r="J17" s="23" t="s">
        <v>49</v>
      </c>
      <c r="K17" s="86" t="s">
        <v>48</v>
      </c>
      <c r="L17" s="77"/>
      <c r="M17" s="87" t="s">
        <v>47</v>
      </c>
      <c r="N17" s="76"/>
      <c r="O17" s="77"/>
      <c r="P17" s="87" t="s">
        <v>46</v>
      </c>
      <c r="Q17" s="77"/>
      <c r="R17" s="23" t="s">
        <v>45</v>
      </c>
    </row>
    <row r="18" spans="1:18" x14ac:dyDescent="0.25">
      <c r="A18" s="81" t="s">
        <v>26</v>
      </c>
      <c r="B18" s="76"/>
      <c r="C18" s="76"/>
      <c r="D18" s="76"/>
      <c r="E18" s="77"/>
      <c r="F18" s="81" t="s">
        <v>25</v>
      </c>
      <c r="G18" s="76"/>
      <c r="H18" s="76"/>
      <c r="I18" s="77"/>
      <c r="J18" s="22"/>
      <c r="K18" s="82">
        <f ca="1">RANDBETWEEN(0,32500)</f>
        <v>9887</v>
      </c>
      <c r="L18" s="77"/>
      <c r="M18" s="82">
        <f ca="1">RANDBETWEEN(0,7000)</f>
        <v>4963</v>
      </c>
      <c r="N18" s="76"/>
      <c r="O18" s="77"/>
      <c r="P18" s="82">
        <f ca="1">RANDBETWEEN(0,25000)</f>
        <v>11909</v>
      </c>
      <c r="Q18" s="77"/>
      <c r="R18" s="21">
        <f ca="1">RANDBETWEEN(0,100)</f>
        <v>72</v>
      </c>
    </row>
    <row r="19" spans="1:18" x14ac:dyDescent="0.25">
      <c r="A19" s="81" t="s">
        <v>44</v>
      </c>
      <c r="B19" s="76"/>
      <c r="C19" s="76"/>
      <c r="D19" s="76"/>
      <c r="E19" s="77"/>
      <c r="F19" s="81" t="s">
        <v>43</v>
      </c>
      <c r="G19" s="76"/>
      <c r="H19" s="76"/>
      <c r="I19" s="77"/>
      <c r="J19" s="22"/>
      <c r="K19" s="82">
        <f t="shared" ref="K19:K42" ca="1" si="0">RANDBETWEEN(0,32500)</f>
        <v>9540</v>
      </c>
      <c r="L19" s="77"/>
      <c r="M19" s="82">
        <f t="shared" ref="M19:M42" ca="1" si="1">RANDBETWEEN(0,7000)</f>
        <v>6718</v>
      </c>
      <c r="N19" s="76"/>
      <c r="O19" s="77"/>
      <c r="P19" s="82">
        <f t="shared" ref="P19:P42" ca="1" si="2">RANDBETWEEN(0,25000)</f>
        <v>18134</v>
      </c>
      <c r="Q19" s="77"/>
      <c r="R19" s="21">
        <f t="shared" ref="R19:R42" ca="1" si="3">RANDBETWEEN(0,100)</f>
        <v>15</v>
      </c>
    </row>
    <row r="20" spans="1:18" x14ac:dyDescent="0.25">
      <c r="A20" s="81" t="s">
        <v>42</v>
      </c>
      <c r="B20" s="76"/>
      <c r="C20" s="76"/>
      <c r="D20" s="76"/>
      <c r="E20" s="77"/>
      <c r="F20" s="81" t="s">
        <v>41</v>
      </c>
      <c r="G20" s="76"/>
      <c r="H20" s="76"/>
      <c r="I20" s="77"/>
      <c r="J20" s="22"/>
      <c r="K20" s="82">
        <f t="shared" ca="1" si="0"/>
        <v>27431</v>
      </c>
      <c r="L20" s="77"/>
      <c r="M20" s="82">
        <f t="shared" ca="1" si="1"/>
        <v>6422</v>
      </c>
      <c r="N20" s="76"/>
      <c r="O20" s="77"/>
      <c r="P20" s="82">
        <f t="shared" ca="1" si="2"/>
        <v>4535</v>
      </c>
      <c r="Q20" s="77"/>
      <c r="R20" s="21">
        <f t="shared" ca="1" si="3"/>
        <v>88</v>
      </c>
    </row>
    <row r="21" spans="1:18" x14ac:dyDescent="0.25">
      <c r="A21" s="81" t="s">
        <v>24</v>
      </c>
      <c r="B21" s="76"/>
      <c r="C21" s="76"/>
      <c r="D21" s="76"/>
      <c r="E21" s="77"/>
      <c r="F21" s="81" t="s">
        <v>23</v>
      </c>
      <c r="G21" s="76"/>
      <c r="H21" s="76"/>
      <c r="I21" s="77"/>
      <c r="J21" s="22"/>
      <c r="K21" s="82">
        <f t="shared" ca="1" si="0"/>
        <v>15457</v>
      </c>
      <c r="L21" s="77"/>
      <c r="M21" s="82">
        <f t="shared" ca="1" si="1"/>
        <v>4953</v>
      </c>
      <c r="N21" s="76"/>
      <c r="O21" s="77"/>
      <c r="P21" s="82">
        <f t="shared" ca="1" si="2"/>
        <v>8179</v>
      </c>
      <c r="Q21" s="77"/>
      <c r="R21" s="21">
        <f t="shared" ca="1" si="3"/>
        <v>37</v>
      </c>
    </row>
    <row r="22" spans="1:18" x14ac:dyDescent="0.25">
      <c r="A22" s="81" t="s">
        <v>30</v>
      </c>
      <c r="B22" s="76"/>
      <c r="C22" s="76"/>
      <c r="D22" s="76"/>
      <c r="E22" s="77"/>
      <c r="F22" s="81" t="s">
        <v>29</v>
      </c>
      <c r="G22" s="76"/>
      <c r="H22" s="76"/>
      <c r="I22" s="77"/>
      <c r="J22" s="22"/>
      <c r="K22" s="82">
        <f t="shared" ca="1" si="0"/>
        <v>6909</v>
      </c>
      <c r="L22" s="77"/>
      <c r="M22" s="82">
        <f t="shared" ca="1" si="1"/>
        <v>3930</v>
      </c>
      <c r="N22" s="76"/>
      <c r="O22" s="77"/>
      <c r="P22" s="82">
        <f t="shared" ca="1" si="2"/>
        <v>1406</v>
      </c>
      <c r="Q22" s="77"/>
      <c r="R22" s="21">
        <f t="shared" ca="1" si="3"/>
        <v>6</v>
      </c>
    </row>
    <row r="23" spans="1:18" x14ac:dyDescent="0.25">
      <c r="A23" s="81" t="s">
        <v>78</v>
      </c>
      <c r="B23" s="76"/>
      <c r="C23" s="76"/>
      <c r="D23" s="76"/>
      <c r="E23" s="77"/>
      <c r="F23" s="81" t="s">
        <v>77</v>
      </c>
      <c r="G23" s="76"/>
      <c r="H23" s="76"/>
      <c r="I23" s="77"/>
      <c r="J23" s="22"/>
      <c r="K23" s="82">
        <f t="shared" ca="1" si="0"/>
        <v>24202</v>
      </c>
      <c r="L23" s="77"/>
      <c r="M23" s="82">
        <f t="shared" ca="1" si="1"/>
        <v>2275</v>
      </c>
      <c r="N23" s="76"/>
      <c r="O23" s="77"/>
      <c r="P23" s="82">
        <f t="shared" ca="1" si="2"/>
        <v>23108</v>
      </c>
      <c r="Q23" s="77"/>
      <c r="R23" s="21">
        <f t="shared" ca="1" si="3"/>
        <v>81</v>
      </c>
    </row>
    <row r="24" spans="1:18" x14ac:dyDescent="0.25">
      <c r="A24" s="81" t="s">
        <v>28</v>
      </c>
      <c r="B24" s="76"/>
      <c r="C24" s="76"/>
      <c r="D24" s="76"/>
      <c r="E24" s="77"/>
      <c r="F24" s="81" t="s">
        <v>27</v>
      </c>
      <c r="G24" s="76"/>
      <c r="H24" s="76"/>
      <c r="I24" s="77"/>
      <c r="J24" s="22"/>
      <c r="K24" s="82">
        <f t="shared" ca="1" si="0"/>
        <v>2357</v>
      </c>
      <c r="L24" s="77"/>
      <c r="M24" s="82">
        <f t="shared" ca="1" si="1"/>
        <v>4213</v>
      </c>
      <c r="N24" s="76"/>
      <c r="O24" s="77"/>
      <c r="P24" s="82">
        <f t="shared" ca="1" si="2"/>
        <v>12922</v>
      </c>
      <c r="Q24" s="77"/>
      <c r="R24" s="21">
        <f t="shared" ca="1" si="3"/>
        <v>1</v>
      </c>
    </row>
    <row r="25" spans="1:18" x14ac:dyDescent="0.25">
      <c r="A25" s="81" t="s">
        <v>70</v>
      </c>
      <c r="B25" s="76"/>
      <c r="C25" s="76"/>
      <c r="D25" s="76"/>
      <c r="E25" s="77"/>
      <c r="F25" s="81" t="s">
        <v>69</v>
      </c>
      <c r="G25" s="76"/>
      <c r="H25" s="76"/>
      <c r="I25" s="77"/>
      <c r="J25" s="22"/>
      <c r="K25" s="82">
        <f t="shared" ca="1" si="0"/>
        <v>3783</v>
      </c>
      <c r="L25" s="77"/>
      <c r="M25" s="82">
        <f t="shared" ca="1" si="1"/>
        <v>2763</v>
      </c>
      <c r="N25" s="76"/>
      <c r="O25" s="77"/>
      <c r="P25" s="82">
        <f t="shared" ca="1" si="2"/>
        <v>16115</v>
      </c>
      <c r="Q25" s="77"/>
      <c r="R25" s="21">
        <f t="shared" ca="1" si="3"/>
        <v>26</v>
      </c>
    </row>
    <row r="26" spans="1:18" x14ac:dyDescent="0.25">
      <c r="A26" s="81" t="s">
        <v>26</v>
      </c>
      <c r="B26" s="76"/>
      <c r="C26" s="76"/>
      <c r="D26" s="76"/>
      <c r="E26" s="77"/>
      <c r="F26" s="81" t="s">
        <v>25</v>
      </c>
      <c r="G26" s="76"/>
      <c r="H26" s="76"/>
      <c r="I26" s="77"/>
      <c r="J26" s="22"/>
      <c r="K26" s="82">
        <f t="shared" ca="1" si="0"/>
        <v>27535</v>
      </c>
      <c r="L26" s="77"/>
      <c r="M26" s="82">
        <f t="shared" ca="1" si="1"/>
        <v>4819</v>
      </c>
      <c r="N26" s="76"/>
      <c r="O26" s="77"/>
      <c r="P26" s="82">
        <f t="shared" ca="1" si="2"/>
        <v>940</v>
      </c>
      <c r="Q26" s="77"/>
      <c r="R26" s="21">
        <f t="shared" ca="1" si="3"/>
        <v>55</v>
      </c>
    </row>
    <row r="27" spans="1:18" x14ac:dyDescent="0.25">
      <c r="A27" s="81" t="s">
        <v>28</v>
      </c>
      <c r="B27" s="76"/>
      <c r="C27" s="76"/>
      <c r="D27" s="76"/>
      <c r="E27" s="77"/>
      <c r="F27" s="81" t="s">
        <v>27</v>
      </c>
      <c r="G27" s="76"/>
      <c r="H27" s="76"/>
      <c r="I27" s="77"/>
      <c r="J27" s="22"/>
      <c r="K27" s="82">
        <f t="shared" ca="1" si="0"/>
        <v>25248</v>
      </c>
      <c r="L27" s="77"/>
      <c r="M27" s="82">
        <f t="shared" ca="1" si="1"/>
        <v>1702</v>
      </c>
      <c r="N27" s="76"/>
      <c r="O27" s="77"/>
      <c r="P27" s="82">
        <f t="shared" ca="1" si="2"/>
        <v>3470</v>
      </c>
      <c r="Q27" s="77"/>
      <c r="R27" s="21">
        <f t="shared" ca="1" si="3"/>
        <v>76</v>
      </c>
    </row>
    <row r="28" spans="1:18" x14ac:dyDescent="0.25">
      <c r="A28" s="81" t="s">
        <v>86</v>
      </c>
      <c r="B28" s="76"/>
      <c r="C28" s="76"/>
      <c r="D28" s="76"/>
      <c r="E28" s="77"/>
      <c r="F28" s="81" t="s">
        <v>85</v>
      </c>
      <c r="G28" s="76"/>
      <c r="H28" s="76"/>
      <c r="I28" s="77"/>
      <c r="J28" s="22"/>
      <c r="K28" s="82">
        <f t="shared" ca="1" si="0"/>
        <v>27541</v>
      </c>
      <c r="L28" s="77"/>
      <c r="M28" s="82">
        <f t="shared" ca="1" si="1"/>
        <v>4177</v>
      </c>
      <c r="N28" s="76"/>
      <c r="O28" s="77"/>
      <c r="P28" s="82">
        <f t="shared" ca="1" si="2"/>
        <v>10620</v>
      </c>
      <c r="Q28" s="77"/>
      <c r="R28" s="21">
        <f t="shared" ca="1" si="3"/>
        <v>84</v>
      </c>
    </row>
    <row r="29" spans="1:18" x14ac:dyDescent="0.25">
      <c r="A29" s="81" t="s">
        <v>44</v>
      </c>
      <c r="B29" s="76"/>
      <c r="C29" s="76"/>
      <c r="D29" s="76"/>
      <c r="E29" s="77"/>
      <c r="F29" s="81" t="s">
        <v>43</v>
      </c>
      <c r="G29" s="76"/>
      <c r="H29" s="76"/>
      <c r="I29" s="77"/>
      <c r="J29" s="22"/>
      <c r="K29" s="82">
        <f t="shared" ca="1" si="0"/>
        <v>27456</v>
      </c>
      <c r="L29" s="77"/>
      <c r="M29" s="82">
        <f t="shared" ca="1" si="1"/>
        <v>2314</v>
      </c>
      <c r="N29" s="76"/>
      <c r="O29" s="77"/>
      <c r="P29" s="82">
        <f t="shared" ca="1" si="2"/>
        <v>10058</v>
      </c>
      <c r="Q29" s="77"/>
      <c r="R29" s="21">
        <f t="shared" ca="1" si="3"/>
        <v>96</v>
      </c>
    </row>
    <row r="30" spans="1:18" x14ac:dyDescent="0.25">
      <c r="A30" s="81" t="s">
        <v>26</v>
      </c>
      <c r="B30" s="76"/>
      <c r="C30" s="76"/>
      <c r="D30" s="76"/>
      <c r="E30" s="77"/>
      <c r="F30" s="81" t="s">
        <v>25</v>
      </c>
      <c r="G30" s="76"/>
      <c r="H30" s="76"/>
      <c r="I30" s="77"/>
      <c r="J30" s="22"/>
      <c r="K30" s="82">
        <f t="shared" ca="1" si="0"/>
        <v>11166</v>
      </c>
      <c r="L30" s="77"/>
      <c r="M30" s="82">
        <f t="shared" ca="1" si="1"/>
        <v>287</v>
      </c>
      <c r="N30" s="76"/>
      <c r="O30" s="77"/>
      <c r="P30" s="82">
        <f t="shared" ca="1" si="2"/>
        <v>3592</v>
      </c>
      <c r="Q30" s="77"/>
      <c r="R30" s="21">
        <f t="shared" ca="1" si="3"/>
        <v>25</v>
      </c>
    </row>
    <row r="31" spans="1:18" x14ac:dyDescent="0.25">
      <c r="A31" s="81" t="s">
        <v>42</v>
      </c>
      <c r="B31" s="76"/>
      <c r="C31" s="76"/>
      <c r="D31" s="76"/>
      <c r="E31" s="77"/>
      <c r="F31" s="81" t="s">
        <v>41</v>
      </c>
      <c r="G31" s="76"/>
      <c r="H31" s="76"/>
      <c r="I31" s="77"/>
      <c r="J31" s="22"/>
      <c r="K31" s="82">
        <f t="shared" ca="1" si="0"/>
        <v>32008</v>
      </c>
      <c r="L31" s="77"/>
      <c r="M31" s="82">
        <f t="shared" ca="1" si="1"/>
        <v>1132</v>
      </c>
      <c r="N31" s="76"/>
      <c r="O31" s="77"/>
      <c r="P31" s="82">
        <f t="shared" ca="1" si="2"/>
        <v>6109</v>
      </c>
      <c r="Q31" s="77"/>
      <c r="R31" s="21">
        <f t="shared" ca="1" si="3"/>
        <v>78</v>
      </c>
    </row>
    <row r="32" spans="1:18" x14ac:dyDescent="0.25">
      <c r="A32" s="81" t="s">
        <v>24</v>
      </c>
      <c r="B32" s="76"/>
      <c r="C32" s="76"/>
      <c r="D32" s="76"/>
      <c r="E32" s="77"/>
      <c r="F32" s="81" t="s">
        <v>23</v>
      </c>
      <c r="G32" s="76"/>
      <c r="H32" s="76"/>
      <c r="I32" s="77"/>
      <c r="J32" s="22"/>
      <c r="K32" s="82">
        <f t="shared" ca="1" si="0"/>
        <v>16942</v>
      </c>
      <c r="L32" s="77"/>
      <c r="M32" s="82">
        <f t="shared" ca="1" si="1"/>
        <v>677</v>
      </c>
      <c r="N32" s="76"/>
      <c r="O32" s="77"/>
      <c r="P32" s="82">
        <f t="shared" ca="1" si="2"/>
        <v>21546</v>
      </c>
      <c r="Q32" s="77"/>
      <c r="R32" s="21">
        <f t="shared" ca="1" si="3"/>
        <v>100</v>
      </c>
    </row>
    <row r="33" spans="1:26" x14ac:dyDescent="0.25">
      <c r="A33" s="81" t="s">
        <v>70</v>
      </c>
      <c r="B33" s="76"/>
      <c r="C33" s="76"/>
      <c r="D33" s="76"/>
      <c r="E33" s="77"/>
      <c r="F33" s="81" t="s">
        <v>69</v>
      </c>
      <c r="G33" s="76"/>
      <c r="H33" s="76"/>
      <c r="I33" s="77"/>
      <c r="J33" s="22"/>
      <c r="K33" s="82">
        <f t="shared" ca="1" si="0"/>
        <v>29485</v>
      </c>
      <c r="L33" s="77"/>
      <c r="M33" s="82">
        <f t="shared" ca="1" si="1"/>
        <v>5816</v>
      </c>
      <c r="N33" s="76"/>
      <c r="O33" s="77"/>
      <c r="P33" s="82">
        <f t="shared" ca="1" si="2"/>
        <v>5917</v>
      </c>
      <c r="Q33" s="77"/>
      <c r="R33" s="21">
        <f t="shared" ca="1" si="3"/>
        <v>100</v>
      </c>
    </row>
    <row r="34" spans="1:26" x14ac:dyDescent="0.25">
      <c r="A34" s="81" t="s">
        <v>30</v>
      </c>
      <c r="B34" s="76"/>
      <c r="C34" s="76"/>
      <c r="D34" s="76"/>
      <c r="E34" s="77"/>
      <c r="F34" s="81" t="s">
        <v>29</v>
      </c>
      <c r="G34" s="76"/>
      <c r="H34" s="76"/>
      <c r="I34" s="77"/>
      <c r="J34" s="22"/>
      <c r="K34" s="82">
        <f t="shared" ca="1" si="0"/>
        <v>15290</v>
      </c>
      <c r="L34" s="77"/>
      <c r="M34" s="82">
        <f t="shared" ca="1" si="1"/>
        <v>422</v>
      </c>
      <c r="N34" s="76"/>
      <c r="O34" s="77"/>
      <c r="P34" s="82">
        <f t="shared" ca="1" si="2"/>
        <v>10990</v>
      </c>
      <c r="Q34" s="77"/>
      <c r="R34" s="21">
        <f t="shared" ca="1" si="3"/>
        <v>91</v>
      </c>
    </row>
    <row r="35" spans="1:26" x14ac:dyDescent="0.25">
      <c r="A35" s="81" t="s">
        <v>28</v>
      </c>
      <c r="B35" s="76"/>
      <c r="C35" s="76"/>
      <c r="D35" s="76"/>
      <c r="E35" s="77"/>
      <c r="F35" s="81" t="s">
        <v>27</v>
      </c>
      <c r="G35" s="76"/>
      <c r="H35" s="76"/>
      <c r="I35" s="77"/>
      <c r="J35" s="22"/>
      <c r="K35" s="82">
        <f t="shared" ca="1" si="0"/>
        <v>28488</v>
      </c>
      <c r="L35" s="77"/>
      <c r="M35" s="82">
        <f t="shared" ca="1" si="1"/>
        <v>1406</v>
      </c>
      <c r="N35" s="76"/>
      <c r="O35" s="77"/>
      <c r="P35" s="82">
        <f t="shared" ca="1" si="2"/>
        <v>20089</v>
      </c>
      <c r="Q35" s="77"/>
      <c r="R35" s="21">
        <f t="shared" ca="1" si="3"/>
        <v>32</v>
      </c>
    </row>
    <row r="36" spans="1:26" x14ac:dyDescent="0.25">
      <c r="A36" s="81" t="s">
        <v>28</v>
      </c>
      <c r="B36" s="76"/>
      <c r="C36" s="76"/>
      <c r="D36" s="76"/>
      <c r="E36" s="77"/>
      <c r="F36" s="81" t="s">
        <v>27</v>
      </c>
      <c r="G36" s="76"/>
      <c r="H36" s="76"/>
      <c r="I36" s="77"/>
      <c r="J36" s="22"/>
      <c r="K36" s="82">
        <f t="shared" ca="1" si="0"/>
        <v>607</v>
      </c>
      <c r="L36" s="77"/>
      <c r="M36" s="82">
        <f t="shared" ca="1" si="1"/>
        <v>2437</v>
      </c>
      <c r="N36" s="76"/>
      <c r="O36" s="77"/>
      <c r="P36" s="82">
        <f t="shared" ca="1" si="2"/>
        <v>7388</v>
      </c>
      <c r="Q36" s="77"/>
      <c r="R36" s="21">
        <f t="shared" ca="1" si="3"/>
        <v>91</v>
      </c>
    </row>
    <row r="37" spans="1:26" x14ac:dyDescent="0.25">
      <c r="A37" s="81" t="s">
        <v>40</v>
      </c>
      <c r="B37" s="76"/>
      <c r="C37" s="76"/>
      <c r="D37" s="76"/>
      <c r="E37" s="77"/>
      <c r="F37" s="81" t="s">
        <v>39</v>
      </c>
      <c r="G37" s="76"/>
      <c r="H37" s="76"/>
      <c r="I37" s="77"/>
      <c r="J37" s="22"/>
      <c r="K37" s="82">
        <f t="shared" ca="1" si="0"/>
        <v>21968</v>
      </c>
      <c r="L37" s="77"/>
      <c r="M37" s="82">
        <f t="shared" ca="1" si="1"/>
        <v>4297</v>
      </c>
      <c r="N37" s="76"/>
      <c r="O37" s="77"/>
      <c r="P37" s="82">
        <f t="shared" ca="1" si="2"/>
        <v>10823</v>
      </c>
      <c r="Q37" s="77"/>
      <c r="R37" s="21">
        <f t="shared" ca="1" si="3"/>
        <v>64</v>
      </c>
    </row>
    <row r="38" spans="1:26" x14ac:dyDescent="0.25">
      <c r="A38" s="81" t="s">
        <v>34</v>
      </c>
      <c r="B38" s="76"/>
      <c r="C38" s="76"/>
      <c r="D38" s="76"/>
      <c r="E38" s="77"/>
      <c r="F38" s="81" t="s">
        <v>33</v>
      </c>
      <c r="G38" s="76"/>
      <c r="H38" s="76"/>
      <c r="I38" s="77"/>
      <c r="J38" s="22"/>
      <c r="K38" s="82">
        <f t="shared" ca="1" si="0"/>
        <v>8981</v>
      </c>
      <c r="L38" s="77"/>
      <c r="M38" s="82">
        <f t="shared" ca="1" si="1"/>
        <v>3560</v>
      </c>
      <c r="N38" s="76"/>
      <c r="O38" s="77"/>
      <c r="P38" s="82">
        <f t="shared" ca="1" si="2"/>
        <v>16167</v>
      </c>
      <c r="Q38" s="77"/>
      <c r="R38" s="21">
        <f t="shared" ca="1" si="3"/>
        <v>81</v>
      </c>
    </row>
    <row r="39" spans="1:26" x14ac:dyDescent="0.25">
      <c r="A39" s="81" t="s">
        <v>38</v>
      </c>
      <c r="B39" s="76"/>
      <c r="C39" s="76"/>
      <c r="D39" s="76"/>
      <c r="E39" s="77"/>
      <c r="F39" s="81" t="s">
        <v>37</v>
      </c>
      <c r="G39" s="76"/>
      <c r="H39" s="76"/>
      <c r="I39" s="77"/>
      <c r="J39" s="22"/>
      <c r="K39" s="82">
        <f t="shared" ca="1" si="0"/>
        <v>8289</v>
      </c>
      <c r="L39" s="77"/>
      <c r="M39" s="82">
        <f t="shared" ca="1" si="1"/>
        <v>3590</v>
      </c>
      <c r="N39" s="76"/>
      <c r="O39" s="77"/>
      <c r="P39" s="82">
        <f t="shared" ca="1" si="2"/>
        <v>22513</v>
      </c>
      <c r="Q39" s="77"/>
      <c r="R39" s="21">
        <f t="shared" ca="1" si="3"/>
        <v>90</v>
      </c>
    </row>
    <row r="40" spans="1:26" x14ac:dyDescent="0.25">
      <c r="A40" s="81" t="s">
        <v>32</v>
      </c>
      <c r="B40" s="76"/>
      <c r="C40" s="76"/>
      <c r="D40" s="76"/>
      <c r="E40" s="77"/>
      <c r="F40" s="81" t="s">
        <v>31</v>
      </c>
      <c r="G40" s="76"/>
      <c r="H40" s="76"/>
      <c r="I40" s="77"/>
      <c r="J40" s="22"/>
      <c r="K40" s="82">
        <f t="shared" ca="1" si="0"/>
        <v>17705</v>
      </c>
      <c r="L40" s="77"/>
      <c r="M40" s="82">
        <f t="shared" ca="1" si="1"/>
        <v>2873</v>
      </c>
      <c r="N40" s="76"/>
      <c r="O40" s="77"/>
      <c r="P40" s="82">
        <f t="shared" ca="1" si="2"/>
        <v>10402</v>
      </c>
      <c r="Q40" s="77"/>
      <c r="R40" s="21">
        <f t="shared" ca="1" si="3"/>
        <v>34</v>
      </c>
    </row>
    <row r="41" spans="1:26" x14ac:dyDescent="0.25">
      <c r="A41" s="81" t="s">
        <v>78</v>
      </c>
      <c r="B41" s="76"/>
      <c r="C41" s="76"/>
      <c r="D41" s="76"/>
      <c r="E41" s="77"/>
      <c r="F41" s="81" t="s">
        <v>77</v>
      </c>
      <c r="G41" s="76"/>
      <c r="H41" s="76"/>
      <c r="I41" s="77"/>
      <c r="J41" s="22"/>
      <c r="K41" s="82">
        <f t="shared" ca="1" si="0"/>
        <v>25711</v>
      </c>
      <c r="L41" s="77"/>
      <c r="M41" s="82">
        <f t="shared" ca="1" si="1"/>
        <v>21</v>
      </c>
      <c r="N41" s="76"/>
      <c r="O41" s="77"/>
      <c r="P41" s="82">
        <f t="shared" ca="1" si="2"/>
        <v>23821</v>
      </c>
      <c r="Q41" s="77"/>
      <c r="R41" s="21">
        <f t="shared" ca="1" si="3"/>
        <v>3</v>
      </c>
    </row>
    <row r="42" spans="1:26" x14ac:dyDescent="0.25">
      <c r="A42" s="81" t="s">
        <v>42</v>
      </c>
      <c r="B42" s="76"/>
      <c r="C42" s="76"/>
      <c r="D42" s="76"/>
      <c r="E42" s="77"/>
      <c r="F42" s="81" t="s">
        <v>41</v>
      </c>
      <c r="G42" s="76"/>
      <c r="H42" s="76"/>
      <c r="I42" s="77"/>
      <c r="J42" s="22"/>
      <c r="K42" s="82">
        <f t="shared" ca="1" si="0"/>
        <v>20351</v>
      </c>
      <c r="L42" s="77"/>
      <c r="M42" s="82">
        <f t="shared" ca="1" si="1"/>
        <v>3098</v>
      </c>
      <c r="N42" s="76"/>
      <c r="O42" s="77"/>
      <c r="P42" s="82">
        <f t="shared" ca="1" si="2"/>
        <v>8954</v>
      </c>
      <c r="Q42" s="77"/>
      <c r="R42" s="21">
        <f t="shared" ca="1" si="3"/>
        <v>13</v>
      </c>
    </row>
    <row r="43" spans="1:26" x14ac:dyDescent="0.25">
      <c r="A43" s="75" t="s">
        <v>22</v>
      </c>
      <c r="B43" s="76"/>
      <c r="C43" s="76"/>
      <c r="D43" s="76"/>
      <c r="E43" s="76"/>
      <c r="F43" s="76"/>
      <c r="G43" s="76"/>
      <c r="H43" s="76"/>
      <c r="I43" s="77"/>
      <c r="J43" s="20"/>
      <c r="K43" s="78">
        <f ca="1">SUM(K18:L42)</f>
        <v>444337</v>
      </c>
      <c r="L43" s="77"/>
      <c r="M43" s="78">
        <f ca="1">SUM(M18:O42)</f>
        <v>78865</v>
      </c>
      <c r="N43" s="76"/>
      <c r="O43" s="77"/>
      <c r="P43" s="78">
        <f ca="1">SUM(P18:Q42)</f>
        <v>289707</v>
      </c>
      <c r="Q43" s="77"/>
      <c r="R43" s="19">
        <f ca="1">SUM(R18:R42)</f>
        <v>1439</v>
      </c>
    </row>
    <row r="44" spans="1:26" ht="27" customHeight="1" x14ac:dyDescent="0.25">
      <c r="A44" s="79" t="s">
        <v>21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</sheetData>
  <mergeCells count="161">
    <mergeCell ref="A43:I43"/>
    <mergeCell ref="K43:L43"/>
    <mergeCell ref="M43:O43"/>
    <mergeCell ref="P43:Q43"/>
    <mergeCell ref="A44:Z44"/>
    <mergeCell ref="A41:E41"/>
    <mergeCell ref="F41:I41"/>
    <mergeCell ref="K41:L41"/>
    <mergeCell ref="M41:O41"/>
    <mergeCell ref="P41:Q41"/>
    <mergeCell ref="A42:E42"/>
    <mergeCell ref="F42:I42"/>
    <mergeCell ref="K42:L42"/>
    <mergeCell ref="M42:O42"/>
    <mergeCell ref="P42:Q42"/>
    <mergeCell ref="A39:E39"/>
    <mergeCell ref="F39:I39"/>
    <mergeCell ref="K39:L39"/>
    <mergeCell ref="M39:O39"/>
    <mergeCell ref="P39:Q39"/>
    <mergeCell ref="A40:E40"/>
    <mergeCell ref="F40:I40"/>
    <mergeCell ref="K40:L40"/>
    <mergeCell ref="M40:O40"/>
    <mergeCell ref="P40:Q40"/>
    <mergeCell ref="A37:E37"/>
    <mergeCell ref="F37:I37"/>
    <mergeCell ref="K37:L37"/>
    <mergeCell ref="M37:O37"/>
    <mergeCell ref="P37:Q37"/>
    <mergeCell ref="A38:E38"/>
    <mergeCell ref="F38:I38"/>
    <mergeCell ref="K38:L38"/>
    <mergeCell ref="M38:O38"/>
    <mergeCell ref="P38:Q38"/>
    <mergeCell ref="A35:E35"/>
    <mergeCell ref="F35:I35"/>
    <mergeCell ref="K35:L35"/>
    <mergeCell ref="M35:O35"/>
    <mergeCell ref="P35:Q35"/>
    <mergeCell ref="A36:E36"/>
    <mergeCell ref="F36:I36"/>
    <mergeCell ref="K36:L36"/>
    <mergeCell ref="M36:O36"/>
    <mergeCell ref="P36:Q36"/>
    <mergeCell ref="A33:E33"/>
    <mergeCell ref="F33:I33"/>
    <mergeCell ref="K33:L33"/>
    <mergeCell ref="M33:O33"/>
    <mergeCell ref="P33:Q33"/>
    <mergeCell ref="A34:E34"/>
    <mergeCell ref="F34:I34"/>
    <mergeCell ref="K34:L34"/>
    <mergeCell ref="M34:O34"/>
    <mergeCell ref="P34:Q34"/>
    <mergeCell ref="A31:E31"/>
    <mergeCell ref="F31:I31"/>
    <mergeCell ref="K31:L31"/>
    <mergeCell ref="M31:O31"/>
    <mergeCell ref="P31:Q31"/>
    <mergeCell ref="A32:E32"/>
    <mergeCell ref="F32:I32"/>
    <mergeCell ref="K32:L32"/>
    <mergeCell ref="M32:O32"/>
    <mergeCell ref="P32:Q32"/>
    <mergeCell ref="A29:E29"/>
    <mergeCell ref="F29:I29"/>
    <mergeCell ref="K29:L29"/>
    <mergeCell ref="M29:O29"/>
    <mergeCell ref="P29:Q29"/>
    <mergeCell ref="A30:E30"/>
    <mergeCell ref="F30:I30"/>
    <mergeCell ref="K30:L30"/>
    <mergeCell ref="M30:O30"/>
    <mergeCell ref="P30:Q30"/>
    <mergeCell ref="A27:E27"/>
    <mergeCell ref="F27:I27"/>
    <mergeCell ref="K27:L27"/>
    <mergeCell ref="M27:O27"/>
    <mergeCell ref="P27:Q27"/>
    <mergeCell ref="A28:E28"/>
    <mergeCell ref="F28:I28"/>
    <mergeCell ref="K28:L28"/>
    <mergeCell ref="M28:O28"/>
    <mergeCell ref="P28:Q28"/>
    <mergeCell ref="A25:E25"/>
    <mergeCell ref="F25:I25"/>
    <mergeCell ref="K25:L25"/>
    <mergeCell ref="M25:O25"/>
    <mergeCell ref="P25:Q25"/>
    <mergeCell ref="A26:E26"/>
    <mergeCell ref="F26:I26"/>
    <mergeCell ref="K26:L26"/>
    <mergeCell ref="M26:O26"/>
    <mergeCell ref="P26:Q26"/>
    <mergeCell ref="A23:E23"/>
    <mergeCell ref="F23:I23"/>
    <mergeCell ref="K23:L23"/>
    <mergeCell ref="M23:O23"/>
    <mergeCell ref="P23:Q23"/>
    <mergeCell ref="A24:E24"/>
    <mergeCell ref="F24:I24"/>
    <mergeCell ref="K24:L24"/>
    <mergeCell ref="M24:O24"/>
    <mergeCell ref="P24:Q24"/>
    <mergeCell ref="A21:E21"/>
    <mergeCell ref="F21:I21"/>
    <mergeCell ref="K21:L21"/>
    <mergeCell ref="M21:O21"/>
    <mergeCell ref="P21:Q21"/>
    <mergeCell ref="A22:E22"/>
    <mergeCell ref="F22:I22"/>
    <mergeCell ref="K22:L22"/>
    <mergeCell ref="M22:O22"/>
    <mergeCell ref="P22:Q22"/>
    <mergeCell ref="A19:E19"/>
    <mergeCell ref="F19:I19"/>
    <mergeCell ref="K19:L19"/>
    <mergeCell ref="M19:O19"/>
    <mergeCell ref="P19:Q19"/>
    <mergeCell ref="A20:E20"/>
    <mergeCell ref="F20:I20"/>
    <mergeCell ref="K20:L20"/>
    <mergeCell ref="M20:O20"/>
    <mergeCell ref="P20:Q20"/>
    <mergeCell ref="A17:E17"/>
    <mergeCell ref="F17:I17"/>
    <mergeCell ref="K17:L17"/>
    <mergeCell ref="M17:O17"/>
    <mergeCell ref="P17:Q17"/>
    <mergeCell ref="A18:E18"/>
    <mergeCell ref="F18:I18"/>
    <mergeCell ref="K18:L18"/>
    <mergeCell ref="M18:O18"/>
    <mergeCell ref="P18:Q18"/>
    <mergeCell ref="G13:H13"/>
    <mergeCell ref="I13:W13"/>
    <mergeCell ref="D14:G14"/>
    <mergeCell ref="H14:X14"/>
    <mergeCell ref="A15:H15"/>
    <mergeCell ref="I15:K15"/>
    <mergeCell ref="L15:M15"/>
    <mergeCell ref="N15:P15"/>
    <mergeCell ref="C10:H10"/>
    <mergeCell ref="I10:W10"/>
    <mergeCell ref="B11:H11"/>
    <mergeCell ref="I11:W11"/>
    <mergeCell ref="E12:H12"/>
    <mergeCell ref="I12:Y12"/>
    <mergeCell ref="A7:H7"/>
    <mergeCell ref="I7:W7"/>
    <mergeCell ref="G8:H8"/>
    <mergeCell ref="I8:W8"/>
    <mergeCell ref="C9:H9"/>
    <mergeCell ref="I9:W9"/>
    <mergeCell ref="A1:N3"/>
    <mergeCell ref="U4:V4"/>
    <mergeCell ref="A5:H5"/>
    <mergeCell ref="I5:W5"/>
    <mergeCell ref="A6:H6"/>
    <mergeCell ref="I6:W6"/>
  </mergeCells>
  <pageMargins left="0.25" right="0.25" top="0.25" bottom="0.25" header="0.25" footer="0.25"/>
  <pageSetup paperSize="0"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Z5MIXNDCYANOWYEIBEZ6NUN2WHWVB5H:ms-officescript%3A%2F%2Fonedrive_business_sharinglink%2Fu!aHR0cHM6Ly9uZXRvcmczNjkxMTY0LW15LnNoYXJlcG9pbnQuY29tLzp1Oi9nL3BlcnNvbmFsL2FkbWluYXNzaXN0YW50X2dpLW5vcnRoX2NvbS9FYU1XQU5kYkJFQkpuemFOMVk5cWg2Y0JaNW5CeHF5b3NOWnZzb3hXb1RSRHpR"/>
  <scriptId xmlns="" id="ms-officescript%3A%2F%2Fonedrive_business_itemlink%2F01OZ5MIXPXH7WWLW5UDBCKKL5GYUPUVGHT:ms-officescript%3A%2F%2Fonedrive_business_sharinglink%2Fu!aHR0cHM6Ly9uZXRvcmczNjkxMTY0LW15LnNoYXJlcG9pbnQuY29tLzp1Oi9nL3BlcnNvbmFsL2FkbWluYXNzaXN0YW50X2dpLW5vcnRoX2NvbS9FZmNfN1dYYnRCaEVwUy1teFI5S21QTUJOZTIxWFRSSnU0VVQxSmJiOUVZeXR3"/>
</scriptIds>
</file>

<file path=customXml/itemProps1.xml><?xml version="1.0" encoding="utf-8"?>
<ds:datastoreItem xmlns:ds="http://schemas.openxmlformats.org/officeDocument/2006/customXml" ds:itemID="{ACB9D5C8-BB83-4884-83B9-A3E43EC031C3}">
  <ds:schemaRefs>
    <ds:schemaRef ds:uri="http://schemas.microsoft.com/office/extensibility/maker/v1.0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12</vt:i4>
      </vt:variant>
    </vt:vector>
  </HeadingPairs>
  <TitlesOfParts>
    <vt:vector size="25" baseType="lpstr">
      <vt:lpstr>Overview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April!Print_Titles</vt:lpstr>
      <vt:lpstr>August!Print_Titles</vt:lpstr>
      <vt:lpstr>December!Print_Titles</vt:lpstr>
      <vt:lpstr>February!Print_Titles</vt:lpstr>
      <vt:lpstr>January!Print_Titles</vt:lpstr>
      <vt:lpstr>July!Print_Titles</vt:lpstr>
      <vt:lpstr>June!Print_Titles</vt:lpstr>
      <vt:lpstr>March!Print_Titles</vt:lpstr>
      <vt:lpstr>May!Print_Titles</vt:lpstr>
      <vt:lpstr>November!Print_Titles</vt:lpstr>
      <vt:lpstr>October!Print_Titles</vt:lpstr>
      <vt:lpstr>September!Print_Titles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Lavoy</dc:creator>
  <cp:lastModifiedBy>Jonathan Lavoy</cp:lastModifiedBy>
  <cp:lastPrinted>2023-10-18T13:52:12Z</cp:lastPrinted>
  <dcterms:created xsi:type="dcterms:W3CDTF">2023-08-11T13:25:40Z</dcterms:created>
  <dcterms:modified xsi:type="dcterms:W3CDTF">2025-11-14T18:24:44Z</dcterms:modified>
</cp:coreProperties>
</file>